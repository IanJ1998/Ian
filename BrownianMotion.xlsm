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andjoy/Desktop/STAT 5361/"/>
    </mc:Choice>
  </mc:AlternateContent>
  <xr:revisionPtr revIDLastSave="0" documentId="13_ncr:1_{CA367075-E961-6C4A-80C8-DFFEC5626623}" xr6:coauthVersionLast="47" xr6:coauthVersionMax="47" xr10:uidLastSave="{00000000-0000-0000-0000-000000000000}"/>
  <bookViews>
    <workbookView xWindow="0" yWindow="500" windowWidth="28800" windowHeight="16120" xr2:uid="{ABC1DF48-6A5B-F241-818C-974125AC2721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X2" i="1" a="1"/>
  <c r="X2" i="1" s="1"/>
  <c r="W4" i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/>
  <c r="W2" i="1"/>
  <c r="E21" i="1"/>
  <c r="I2" i="1"/>
  <c r="L2" i="1" s="1"/>
  <c r="J2" i="1"/>
  <c r="G21" i="3"/>
  <c r="H21" i="3" s="1"/>
  <c r="J21" i="3" s="1"/>
  <c r="F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E3" i="3"/>
  <c r="E4" i="3" s="1"/>
  <c r="E5" i="3" s="1"/>
  <c r="J2" i="3"/>
  <c r="I2" i="3"/>
  <c r="H2" i="3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2" i="2"/>
  <c r="F2" i="2"/>
  <c r="E3" i="2"/>
  <c r="E4" i="2" s="1"/>
  <c r="E5" i="2" s="1"/>
  <c r="H2" i="1"/>
  <c r="F21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3" i="1"/>
  <c r="X17" i="1" l="1"/>
  <c r="X9" i="1"/>
  <c r="X16" i="1"/>
  <c r="X8" i="1"/>
  <c r="X15" i="1"/>
  <c r="X7" i="1"/>
  <c r="X6" i="1"/>
  <c r="X21" i="1"/>
  <c r="X13" i="1"/>
  <c r="X5" i="1"/>
  <c r="X12" i="1"/>
  <c r="X19" i="1"/>
  <c r="X11" i="1"/>
  <c r="X3" i="1"/>
  <c r="X14" i="1"/>
  <c r="X20" i="1"/>
  <c r="X4" i="1"/>
  <c r="X18" i="1"/>
  <c r="X10" i="1"/>
  <c r="C7" i="2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F3" i="2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H31" i="2" s="1"/>
  <c r="I31" i="2" s="1"/>
  <c r="H14" i="2"/>
  <c r="I14" i="2" s="1"/>
  <c r="J14" i="2" s="1"/>
  <c r="H5" i="2"/>
  <c r="I5" i="2" s="1"/>
  <c r="H6" i="2"/>
  <c r="I6" i="2" s="1"/>
  <c r="J6" i="2" s="1"/>
  <c r="H29" i="2"/>
  <c r="I29" i="2" s="1"/>
  <c r="J29" i="2" s="1"/>
  <c r="H13" i="2"/>
  <c r="I13" i="2" s="1"/>
  <c r="H28" i="2"/>
  <c r="I28" i="2" s="1"/>
  <c r="L28" i="2" s="1"/>
  <c r="H20" i="2"/>
  <c r="I20" i="2" s="1"/>
  <c r="L20" i="2" s="1"/>
  <c r="H12" i="2"/>
  <c r="I12" i="2" s="1"/>
  <c r="L12" i="2" s="1"/>
  <c r="H3" i="2"/>
  <c r="I3" i="2" s="1"/>
  <c r="J3" i="2" s="1"/>
  <c r="H10" i="2"/>
  <c r="I10" i="2" s="1"/>
  <c r="J10" i="2" s="1"/>
  <c r="K10" i="2" s="1"/>
  <c r="I2" i="2"/>
  <c r="H15" i="2"/>
  <c r="I15" i="2" s="1"/>
  <c r="H27" i="2"/>
  <c r="I27" i="2" s="1"/>
  <c r="J27" i="2" s="1"/>
  <c r="H19" i="2"/>
  <c r="I19" i="2" s="1"/>
  <c r="J19" i="2" s="1"/>
  <c r="H11" i="2"/>
  <c r="I11" i="2" s="1"/>
  <c r="J11" i="2" s="1"/>
  <c r="H18" i="2"/>
  <c r="I18" i="2" s="1"/>
  <c r="H25" i="2"/>
  <c r="I25" i="2" s="1"/>
  <c r="L25" i="2" s="1"/>
  <c r="H17" i="2"/>
  <c r="I17" i="2" s="1"/>
  <c r="L17" i="2" s="1"/>
  <c r="H9" i="2"/>
  <c r="I9" i="2" s="1"/>
  <c r="L9" i="2" s="1"/>
  <c r="H24" i="2"/>
  <c r="I24" i="2" s="1"/>
  <c r="J24" i="2" s="1"/>
  <c r="H16" i="2"/>
  <c r="I16" i="2" s="1"/>
  <c r="J16" i="2" s="1"/>
  <c r="H8" i="2"/>
  <c r="I8" i="2" s="1"/>
  <c r="E6" i="3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C7" i="3"/>
  <c r="F3" i="3" s="1"/>
  <c r="I21" i="3"/>
  <c r="K2" i="3"/>
  <c r="K2" i="1"/>
  <c r="N2" i="1" s="1"/>
  <c r="C7" i="1"/>
  <c r="H3" i="1" s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K11" i="2" l="1"/>
  <c r="L11" i="2"/>
  <c r="J28" i="2"/>
  <c r="K28" i="2" s="1"/>
  <c r="J12" i="2"/>
  <c r="K12" i="2" s="1"/>
  <c r="L3" i="2"/>
  <c r="K3" i="2"/>
  <c r="K24" i="2"/>
  <c r="J9" i="2"/>
  <c r="K9" i="2" s="1"/>
  <c r="J17" i="2"/>
  <c r="K17" i="2" s="1"/>
  <c r="L14" i="2"/>
  <c r="K6" i="2"/>
  <c r="K29" i="2"/>
  <c r="L29" i="2"/>
  <c r="K19" i="2"/>
  <c r="J20" i="2"/>
  <c r="K20" i="2" s="1"/>
  <c r="L19" i="2"/>
  <c r="L10" i="2"/>
  <c r="H30" i="2"/>
  <c r="K27" i="2"/>
  <c r="J25" i="2"/>
  <c r="K25" i="2" s="1"/>
  <c r="L27" i="2"/>
  <c r="K2" i="2"/>
  <c r="J2" i="2"/>
  <c r="L2" i="2"/>
  <c r="H21" i="2"/>
  <c r="I21" i="2" s="1"/>
  <c r="J21" i="2" s="1"/>
  <c r="K21" i="2" s="1"/>
  <c r="C9" i="2" s="1"/>
  <c r="H23" i="2"/>
  <c r="L16" i="2"/>
  <c r="L24" i="2"/>
  <c r="K14" i="2"/>
  <c r="K16" i="2"/>
  <c r="L6" i="2"/>
  <c r="H7" i="2"/>
  <c r="I7" i="2" s="1"/>
  <c r="J7" i="2" s="1"/>
  <c r="K7" i="2" s="1"/>
  <c r="H26" i="2"/>
  <c r="I26" i="2" s="1"/>
  <c r="H4" i="2"/>
  <c r="H22" i="2"/>
  <c r="J21" i="1"/>
  <c r="I21" i="1"/>
  <c r="J5" i="2"/>
  <c r="K5" i="2" s="1"/>
  <c r="L5" i="2"/>
  <c r="J15" i="2"/>
  <c r="K15" i="2" s="1"/>
  <c r="L15" i="2"/>
  <c r="J31" i="2"/>
  <c r="K31" i="2" s="1"/>
  <c r="L31" i="2"/>
  <c r="J8" i="2"/>
  <c r="K8" i="2" s="1"/>
  <c r="L8" i="2"/>
  <c r="J18" i="2"/>
  <c r="K18" i="2" s="1"/>
  <c r="L18" i="2"/>
  <c r="J13" i="2"/>
  <c r="K13" i="2" s="1"/>
  <c r="L13" i="2"/>
  <c r="K21" i="3"/>
  <c r="F4" i="3"/>
  <c r="H3" i="3"/>
  <c r="O2" i="1"/>
  <c r="F3" i="1"/>
  <c r="I3" i="1" s="1"/>
  <c r="L7" i="2" l="1"/>
  <c r="I30" i="2"/>
  <c r="I23" i="2"/>
  <c r="I22" i="2"/>
  <c r="I4" i="2"/>
  <c r="L26" i="2"/>
  <c r="J26" i="2"/>
  <c r="K26" i="2" s="1"/>
  <c r="L21" i="2"/>
  <c r="J3" i="1"/>
  <c r="L3" i="1"/>
  <c r="I3" i="3"/>
  <c r="J3" i="3"/>
  <c r="F5" i="3"/>
  <c r="H4" i="3"/>
  <c r="F4" i="1"/>
  <c r="I4" i="1" s="1"/>
  <c r="J4" i="2" l="1"/>
  <c r="K4" i="2" s="1"/>
  <c r="L4" i="2"/>
  <c r="J23" i="2"/>
  <c r="K23" i="2" s="1"/>
  <c r="L23" i="2"/>
  <c r="J22" i="2"/>
  <c r="K22" i="2" s="1"/>
  <c r="L22" i="2"/>
  <c r="J30" i="2"/>
  <c r="K30" i="2" s="1"/>
  <c r="L30" i="2"/>
  <c r="M3" i="1"/>
  <c r="N3" i="1" s="1"/>
  <c r="O3" i="1" s="1"/>
  <c r="J4" i="1"/>
  <c r="J4" i="3"/>
  <c r="I4" i="3"/>
  <c r="F6" i="3"/>
  <c r="H5" i="3"/>
  <c r="K3" i="3"/>
  <c r="F5" i="1"/>
  <c r="I5" i="1" s="1"/>
  <c r="J5" i="1" l="1"/>
  <c r="J5" i="3"/>
  <c r="I5" i="3"/>
  <c r="F7" i="3"/>
  <c r="H6" i="3"/>
  <c r="K4" i="3"/>
  <c r="F6" i="1"/>
  <c r="I6" i="1" s="1"/>
  <c r="K3" i="1"/>
  <c r="J6" i="1" l="1"/>
  <c r="J6" i="3"/>
  <c r="I6" i="3"/>
  <c r="F8" i="3"/>
  <c r="H7" i="3"/>
  <c r="K5" i="3"/>
  <c r="F7" i="1"/>
  <c r="I7" i="1" s="1"/>
  <c r="L4" i="1"/>
  <c r="K4" i="1"/>
  <c r="M4" i="1" l="1"/>
  <c r="N4" i="1" s="1"/>
  <c r="O4" i="1" s="1"/>
  <c r="J7" i="1"/>
  <c r="I7" i="3"/>
  <c r="J7" i="3"/>
  <c r="F9" i="3"/>
  <c r="H8" i="3"/>
  <c r="K6" i="3"/>
  <c r="L21" i="1"/>
  <c r="K21" i="1"/>
  <c r="K5" i="1"/>
  <c r="L5" i="1"/>
  <c r="F8" i="1"/>
  <c r="I8" i="1" s="1"/>
  <c r="M5" i="1" l="1"/>
  <c r="N5" i="1" s="1"/>
  <c r="O5" i="1" s="1"/>
  <c r="J8" i="1"/>
  <c r="K7" i="3"/>
  <c r="I8" i="3"/>
  <c r="J8" i="3"/>
  <c r="F10" i="3"/>
  <c r="H9" i="3"/>
  <c r="K6" i="1"/>
  <c r="L6" i="1"/>
  <c r="F9" i="1"/>
  <c r="I9" i="1" s="1"/>
  <c r="M6" i="1" l="1"/>
  <c r="N6" i="1" s="1"/>
  <c r="O6" i="1" s="1"/>
  <c r="J9" i="1"/>
  <c r="J9" i="3"/>
  <c r="I9" i="3"/>
  <c r="K8" i="3"/>
  <c r="H10" i="3"/>
  <c r="F11" i="3"/>
  <c r="L7" i="1"/>
  <c r="F10" i="1"/>
  <c r="I10" i="1" s="1"/>
  <c r="K7" i="1"/>
  <c r="M7" i="1" l="1"/>
  <c r="N7" i="1" s="1"/>
  <c r="O7" i="1" s="1"/>
  <c r="J10" i="1"/>
  <c r="K9" i="3"/>
  <c r="F12" i="3"/>
  <c r="H11" i="3"/>
  <c r="J10" i="3"/>
  <c r="I10" i="3"/>
  <c r="L8" i="1"/>
  <c r="K8" i="1"/>
  <c r="F11" i="1"/>
  <c r="I11" i="1" s="1"/>
  <c r="M8" i="1" l="1"/>
  <c r="N8" i="1" s="1"/>
  <c r="O8" i="1" s="1"/>
  <c r="J11" i="1"/>
  <c r="K10" i="3"/>
  <c r="I11" i="3"/>
  <c r="J11" i="3"/>
  <c r="F13" i="3"/>
  <c r="H12" i="3"/>
  <c r="L9" i="1"/>
  <c r="K9" i="1"/>
  <c r="F12" i="1"/>
  <c r="I12" i="1" s="1"/>
  <c r="M9" i="1" l="1"/>
  <c r="N9" i="1" s="1"/>
  <c r="O9" i="1" s="1"/>
  <c r="J12" i="1"/>
  <c r="I12" i="3"/>
  <c r="J12" i="3"/>
  <c r="F14" i="3"/>
  <c r="H13" i="3"/>
  <c r="K11" i="3"/>
  <c r="L10" i="1"/>
  <c r="K10" i="1"/>
  <c r="F13" i="1"/>
  <c r="I13" i="1" s="1"/>
  <c r="L13" i="1" s="1"/>
  <c r="M10" i="1" l="1"/>
  <c r="N10" i="1" s="1"/>
  <c r="O10" i="1" s="1"/>
  <c r="J13" i="1"/>
  <c r="K12" i="3"/>
  <c r="I13" i="3"/>
  <c r="J13" i="3"/>
  <c r="F15" i="3"/>
  <c r="H14" i="3"/>
  <c r="K11" i="1"/>
  <c r="L11" i="1"/>
  <c r="F14" i="1"/>
  <c r="I14" i="1" s="1"/>
  <c r="M11" i="1" l="1"/>
  <c r="N11" i="1" s="1"/>
  <c r="O11" i="1" s="1"/>
  <c r="J14" i="1"/>
  <c r="J14" i="3"/>
  <c r="I14" i="3"/>
  <c r="K13" i="3"/>
  <c r="F16" i="3"/>
  <c r="H15" i="3"/>
  <c r="L12" i="1"/>
  <c r="K12" i="1"/>
  <c r="F15" i="1"/>
  <c r="I15" i="1" s="1"/>
  <c r="M12" i="1" l="1"/>
  <c r="N12" i="1" s="1"/>
  <c r="O12" i="1" s="1"/>
  <c r="J15" i="1"/>
  <c r="K14" i="3"/>
  <c r="J15" i="3"/>
  <c r="I15" i="3"/>
  <c r="F17" i="3"/>
  <c r="H16" i="3"/>
  <c r="K13" i="1"/>
  <c r="F16" i="1"/>
  <c r="I16" i="1" s="1"/>
  <c r="M13" i="1" l="1"/>
  <c r="N13" i="1" s="1"/>
  <c r="O13" i="1" s="1"/>
  <c r="J16" i="1"/>
  <c r="K15" i="3"/>
  <c r="J16" i="3"/>
  <c r="I16" i="3"/>
  <c r="F18" i="3"/>
  <c r="H17" i="3"/>
  <c r="L14" i="1"/>
  <c r="F17" i="1"/>
  <c r="I17" i="1" s="1"/>
  <c r="K14" i="1"/>
  <c r="M14" i="1" l="1"/>
  <c r="N14" i="1" s="1"/>
  <c r="O14" i="1" s="1"/>
  <c r="J17" i="1"/>
  <c r="K16" i="3"/>
  <c r="J17" i="3"/>
  <c r="I17" i="3"/>
  <c r="H18" i="3"/>
  <c r="F19" i="3"/>
  <c r="L15" i="1"/>
  <c r="K15" i="1"/>
  <c r="F18" i="1"/>
  <c r="I18" i="1" s="1"/>
  <c r="M15" i="1" l="1"/>
  <c r="N15" i="1" s="1"/>
  <c r="O15" i="1" s="1"/>
  <c r="J18" i="1"/>
  <c r="F20" i="3"/>
  <c r="H20" i="3" s="1"/>
  <c r="H19" i="3"/>
  <c r="J18" i="3"/>
  <c r="I18" i="3"/>
  <c r="K17" i="3"/>
  <c r="L16" i="1"/>
  <c r="K16" i="1"/>
  <c r="F19" i="1"/>
  <c r="I19" i="1" s="1"/>
  <c r="M16" i="1" l="1"/>
  <c r="N16" i="1" s="1"/>
  <c r="O16" i="1" s="1"/>
  <c r="J19" i="1"/>
  <c r="K18" i="3"/>
  <c r="I19" i="3"/>
  <c r="J19" i="3"/>
  <c r="I20" i="3"/>
  <c r="J20" i="3"/>
  <c r="L17" i="1"/>
  <c r="K17" i="1"/>
  <c r="F20" i="1"/>
  <c r="I20" i="1" s="1"/>
  <c r="M17" i="1" l="1"/>
  <c r="N17" i="1" s="1"/>
  <c r="O17" i="1" s="1"/>
  <c r="J20" i="1"/>
  <c r="K20" i="3"/>
  <c r="C9" i="3"/>
  <c r="K19" i="3"/>
  <c r="L18" i="1"/>
  <c r="K18" i="1"/>
  <c r="M18" i="1" l="1"/>
  <c r="N18" i="1" s="1"/>
  <c r="O18" i="1" s="1"/>
  <c r="K19" i="1"/>
  <c r="L19" i="1"/>
  <c r="L20" i="1"/>
  <c r="K20" i="1"/>
  <c r="M19" i="1" l="1"/>
  <c r="N19" i="1" s="1"/>
  <c r="O19" i="1" s="1"/>
  <c r="M20" i="1"/>
  <c r="M21" i="1"/>
  <c r="N20" i="1" l="1"/>
  <c r="O20" i="1" s="1"/>
  <c r="N21" i="1" l="1"/>
  <c r="O21" i="1" s="1"/>
  <c r="C9" i="1" s="1"/>
  <c r="W3" i="1"/>
</calcChain>
</file>

<file path=xl/sharedStrings.xml><?xml version="1.0" encoding="utf-8"?>
<sst xmlns="http://schemas.openxmlformats.org/spreadsheetml/2006/main" count="67" uniqueCount="31">
  <si>
    <t>s(0)</t>
  </si>
  <si>
    <t>K</t>
  </si>
  <si>
    <t>r</t>
  </si>
  <si>
    <t xml:space="preserve">s </t>
  </si>
  <si>
    <t>T</t>
  </si>
  <si>
    <t>t</t>
  </si>
  <si>
    <t>z</t>
  </si>
  <si>
    <t>S(t)</t>
  </si>
  <si>
    <t>D(t)</t>
  </si>
  <si>
    <t>Small_t</t>
  </si>
  <si>
    <t>Cash Flow</t>
  </si>
  <si>
    <t>B(t)</t>
  </si>
  <si>
    <t>Hedging error</t>
  </si>
  <si>
    <r>
      <rPr>
        <b/>
        <sz val="12"/>
        <color theme="1"/>
        <rFont val="Symbol"/>
        <charset val="2"/>
      </rPr>
      <t>D</t>
    </r>
    <r>
      <rPr>
        <b/>
        <sz val="12"/>
        <color theme="1"/>
        <rFont val="Calibri"/>
        <family val="2"/>
        <scheme val="minor"/>
      </rPr>
      <t>t</t>
    </r>
  </si>
  <si>
    <r>
      <t>d</t>
    </r>
    <r>
      <rPr>
        <b/>
        <vertAlign val="subscript"/>
        <sz val="12"/>
        <color theme="1"/>
        <rFont val="Calibri (Body)"/>
      </rPr>
      <t>1</t>
    </r>
  </si>
  <si>
    <r>
      <t>d</t>
    </r>
    <r>
      <rPr>
        <b/>
        <vertAlign val="subscript"/>
        <sz val="12"/>
        <color theme="1"/>
        <rFont val="Calibri (Body)"/>
      </rPr>
      <t>2</t>
    </r>
  </si>
  <si>
    <r>
      <t>C</t>
    </r>
    <r>
      <rPr>
        <b/>
        <vertAlign val="subscript"/>
        <sz val="12"/>
        <color theme="1"/>
        <rFont val="Calibri (Body)"/>
      </rPr>
      <t>BS</t>
    </r>
    <r>
      <rPr>
        <b/>
        <sz val="12"/>
        <color theme="1"/>
        <rFont val="Calibri"/>
        <family val="2"/>
        <scheme val="minor"/>
      </rPr>
      <t>(t)</t>
    </r>
  </si>
  <si>
    <r>
      <t>C</t>
    </r>
    <r>
      <rPr>
        <b/>
        <vertAlign val="subscript"/>
        <sz val="12"/>
        <color theme="1"/>
        <rFont val="Calibri (Body)"/>
      </rPr>
      <t>rep</t>
    </r>
    <r>
      <rPr>
        <b/>
        <sz val="12"/>
        <color theme="1"/>
        <rFont val="Calibri"/>
        <family val="2"/>
        <scheme val="minor"/>
      </rPr>
      <t>(t)</t>
    </r>
  </si>
  <si>
    <t>S(T)</t>
  </si>
  <si>
    <t>Simulation</t>
  </si>
  <si>
    <t>S(0)</t>
  </si>
  <si>
    <t>Bin</t>
  </si>
  <si>
    <t>Frequency</t>
  </si>
  <si>
    <r>
      <t>C</t>
    </r>
    <r>
      <rPr>
        <b/>
        <vertAlign val="subscript"/>
        <sz val="12"/>
        <color theme="1"/>
        <rFont val="Calibri (Body)"/>
      </rPr>
      <t>BS</t>
    </r>
    <r>
      <rPr>
        <b/>
        <sz val="12"/>
        <color theme="1"/>
        <rFont val="Calibri"/>
        <family val="2"/>
        <scheme val="minor"/>
      </rPr>
      <t>(T)</t>
    </r>
  </si>
  <si>
    <r>
      <t>C</t>
    </r>
    <r>
      <rPr>
        <b/>
        <vertAlign val="subscript"/>
        <sz val="12"/>
        <color theme="1"/>
        <rFont val="Calibri (Body)"/>
      </rPr>
      <t>rep</t>
    </r>
    <r>
      <rPr>
        <b/>
        <sz val="12"/>
        <color theme="1"/>
        <rFont val="Calibri"/>
        <family val="2"/>
        <scheme val="minor"/>
      </rPr>
      <t>(T)</t>
    </r>
  </si>
  <si>
    <t xml:space="preserve">Experiment </t>
  </si>
  <si>
    <t>s</t>
  </si>
  <si>
    <t>StDev</t>
  </si>
  <si>
    <t>skew</t>
  </si>
  <si>
    <t>Kurtosis</t>
  </si>
  <si>
    <t>Participation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</si>
</sst>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0.00000"/>
    <numFmt numFmtId="166" formatCode="0.00000000"/>
    <numFmt numFmtId="167" formatCode="0.000000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ymbol"/>
      <charset val="2"/>
    </font>
    <font>
      <b/>
      <sz val="12"/>
      <color theme="1"/>
      <name val="Calibri"/>
      <family val="2"/>
      <charset val="2"/>
      <scheme val="minor"/>
    </font>
    <font>
      <b/>
      <vertAlign val="subscript"/>
      <sz val="12"/>
      <color theme="1"/>
      <name val="Calibri (Body)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10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3" xfId="0" applyNumberFormat="1" applyBorder="1" applyAlignment="1">
      <alignment horizontal="center"/>
    </xf>
    <xf numFmtId="11" fontId="0" fillId="0" borderId="3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quotePrefix="1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1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0" borderId="0" xfId="0" applyAlignment="1">
      <alignment vertical="center"/>
    </xf>
    <xf numFmtId="9" fontId="0" fillId="0" borderId="0" xfId="1" applyFont="1" applyBorder="1" applyAlignment="1">
      <alignment horizontal="center"/>
    </xf>
    <xf numFmtId="9" fontId="0" fillId="0" borderId="9" xfId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S(t)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Sheet1!$H$2:$H$21</c:f>
              <c:numCache>
                <c:formatCode>General</c:formatCode>
                <c:ptCount val="20"/>
                <c:pt idx="0">
                  <c:v>100</c:v>
                </c:pt>
                <c:pt idx="1">
                  <c:v>100.63779466315677</c:v>
                </c:pt>
                <c:pt idx="2">
                  <c:v>97.315443404901984</c:v>
                </c:pt>
                <c:pt idx="3">
                  <c:v>93.476985999021863</c:v>
                </c:pt>
                <c:pt idx="4">
                  <c:v>99.959788877430597</c:v>
                </c:pt>
                <c:pt idx="5">
                  <c:v>96.335160063079584</c:v>
                </c:pt>
                <c:pt idx="6">
                  <c:v>99.454201968914234</c:v>
                </c:pt>
                <c:pt idx="7">
                  <c:v>100.57046708919071</c:v>
                </c:pt>
                <c:pt idx="8">
                  <c:v>101.95638250616575</c:v>
                </c:pt>
                <c:pt idx="9">
                  <c:v>98.772288540744668</c:v>
                </c:pt>
                <c:pt idx="10">
                  <c:v>99.220955401206268</c:v>
                </c:pt>
                <c:pt idx="11">
                  <c:v>101.85437873557927</c:v>
                </c:pt>
                <c:pt idx="12">
                  <c:v>103.81723940225174</c:v>
                </c:pt>
                <c:pt idx="13">
                  <c:v>96.479235757125579</c:v>
                </c:pt>
                <c:pt idx="14">
                  <c:v>111.3236494263233</c:v>
                </c:pt>
                <c:pt idx="15">
                  <c:v>107.46498133884702</c:v>
                </c:pt>
                <c:pt idx="16">
                  <c:v>110.26566354278877</c:v>
                </c:pt>
                <c:pt idx="17">
                  <c:v>108.62291354066215</c:v>
                </c:pt>
                <c:pt idx="18">
                  <c:v>105.19305639668379</c:v>
                </c:pt>
                <c:pt idx="19">
                  <c:v>102.10420584245914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26-BE47-A7FD-3C1E1DF83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356624"/>
        <c:axId val="395358272"/>
      </c:lineChart>
      <c:catAx>
        <c:axId val="395356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58272"/>
        <c:crosses val="autoZero"/>
        <c:auto val="1"/>
        <c:lblAlgn val="ctr"/>
        <c:lblOffset val="100"/>
        <c:noMultiLvlLbl val="0"/>
      </c:catAx>
      <c:valAx>
        <c:axId val="39535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Sheet1!$S$1</c:f>
              <c:strCache>
                <c:ptCount val="1"/>
                <c:pt idx="0">
                  <c:v>CBS(T)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Sheet1!$R$2:$R$1001</c:f>
              <c:numCache>
                <c:formatCode>0.00000</c:formatCode>
                <c:ptCount val="1000"/>
                <c:pt idx="0">
                  <c:v>89.71660199885244</c:v>
                </c:pt>
                <c:pt idx="1">
                  <c:v>91.699389625256543</c:v>
                </c:pt>
                <c:pt idx="2">
                  <c:v>100.71475732202445</c:v>
                </c:pt>
                <c:pt idx="3">
                  <c:v>133.51284624943014</c:v>
                </c:pt>
                <c:pt idx="4">
                  <c:v>93.021561309725243</c:v>
                </c:pt>
                <c:pt idx="5">
                  <c:v>107.79770302471864</c:v>
                </c:pt>
                <c:pt idx="6">
                  <c:v>107.34026861751342</c:v>
                </c:pt>
                <c:pt idx="7">
                  <c:v>75.768513525639534</c:v>
                </c:pt>
                <c:pt idx="8">
                  <c:v>95.205816406091131</c:v>
                </c:pt>
                <c:pt idx="9">
                  <c:v>139.38226040854138</c:v>
                </c:pt>
                <c:pt idx="10">
                  <c:v>90.621874482793714</c:v>
                </c:pt>
                <c:pt idx="11">
                  <c:v>148.87690213123292</c:v>
                </c:pt>
                <c:pt idx="12">
                  <c:v>60.645472541300201</c:v>
                </c:pt>
                <c:pt idx="13">
                  <c:v>80.436917654326137</c:v>
                </c:pt>
                <c:pt idx="14">
                  <c:v>101.7768218508761</c:v>
                </c:pt>
                <c:pt idx="15">
                  <c:v>103.6112069765953</c:v>
                </c:pt>
                <c:pt idx="16">
                  <c:v>87.333239274817799</c:v>
                </c:pt>
                <c:pt idx="17">
                  <c:v>100.38022434228925</c:v>
                </c:pt>
                <c:pt idx="18">
                  <c:v>96.631493782476539</c:v>
                </c:pt>
                <c:pt idx="19">
                  <c:v>110.44592077055715</c:v>
                </c:pt>
                <c:pt idx="20">
                  <c:v>75.496352825127431</c:v>
                </c:pt>
                <c:pt idx="21">
                  <c:v>78.805326606084535</c:v>
                </c:pt>
                <c:pt idx="22">
                  <c:v>96.898851654257513</c:v>
                </c:pt>
                <c:pt idx="23">
                  <c:v>147.45132045155052</c:v>
                </c:pt>
                <c:pt idx="24">
                  <c:v>107.20919571437233</c:v>
                </c:pt>
                <c:pt idx="25">
                  <c:v>109.82741847198892</c:v>
                </c:pt>
                <c:pt idx="26">
                  <c:v>120.58403747169379</c:v>
                </c:pt>
                <c:pt idx="27">
                  <c:v>98.580050506933972</c:v>
                </c:pt>
                <c:pt idx="28">
                  <c:v>102.28976480300038</c:v>
                </c:pt>
                <c:pt idx="29">
                  <c:v>75.425043298324894</c:v>
                </c:pt>
                <c:pt idx="30">
                  <c:v>121.98887676756787</c:v>
                </c:pt>
                <c:pt idx="31">
                  <c:v>91.748677523986984</c:v>
                </c:pt>
                <c:pt idx="32">
                  <c:v>148.43706611425722</c:v>
                </c:pt>
                <c:pt idx="33">
                  <c:v>97.682322433631285</c:v>
                </c:pt>
                <c:pt idx="34">
                  <c:v>106.28560089007787</c:v>
                </c:pt>
                <c:pt idx="35">
                  <c:v>70.741744200476361</c:v>
                </c:pt>
                <c:pt idx="36">
                  <c:v>87.59389129213649</c:v>
                </c:pt>
                <c:pt idx="37">
                  <c:v>88.984570669499433</c:v>
                </c:pt>
                <c:pt idx="38">
                  <c:v>97.902607986810168</c:v>
                </c:pt>
                <c:pt idx="39">
                  <c:v>79.163868145330724</c:v>
                </c:pt>
                <c:pt idx="40">
                  <c:v>98.640427645725012</c:v>
                </c:pt>
                <c:pt idx="41">
                  <c:v>109.43364075628774</c:v>
                </c:pt>
                <c:pt idx="42">
                  <c:v>75.2424464297562</c:v>
                </c:pt>
                <c:pt idx="43">
                  <c:v>91.765786839992032</c:v>
                </c:pt>
                <c:pt idx="44">
                  <c:v>92.48749845747416</c:v>
                </c:pt>
                <c:pt idx="45">
                  <c:v>138.01480430769553</c:v>
                </c:pt>
                <c:pt idx="46">
                  <c:v>93.511346951388461</c:v>
                </c:pt>
                <c:pt idx="47">
                  <c:v>97.069295619204155</c:v>
                </c:pt>
                <c:pt idx="48">
                  <c:v>61.576640542138918</c:v>
                </c:pt>
                <c:pt idx="49">
                  <c:v>77.239829796349468</c:v>
                </c:pt>
                <c:pt idx="50">
                  <c:v>84.915735877546979</c:v>
                </c:pt>
                <c:pt idx="51">
                  <c:v>101.97097764173968</c:v>
                </c:pt>
                <c:pt idx="52">
                  <c:v>108.81524063988437</c:v>
                </c:pt>
                <c:pt idx="53">
                  <c:v>131.46173101979844</c:v>
                </c:pt>
                <c:pt idx="54">
                  <c:v>133.74964603746531</c:v>
                </c:pt>
                <c:pt idx="55">
                  <c:v>94.502245569506044</c:v>
                </c:pt>
                <c:pt idx="56">
                  <c:v>121.63463791890452</c:v>
                </c:pt>
                <c:pt idx="57">
                  <c:v>124.2161322999865</c:v>
                </c:pt>
                <c:pt idx="58">
                  <c:v>105.63371991707427</c:v>
                </c:pt>
                <c:pt idx="59">
                  <c:v>120.52696858943581</c:v>
                </c:pt>
                <c:pt idx="60">
                  <c:v>121.43196581051427</c:v>
                </c:pt>
                <c:pt idx="61">
                  <c:v>128.31797863296592</c:v>
                </c:pt>
                <c:pt idx="62">
                  <c:v>81.474413021711356</c:v>
                </c:pt>
                <c:pt idx="63">
                  <c:v>67.897781069105136</c:v>
                </c:pt>
                <c:pt idx="64">
                  <c:v>107.40000105063132</c:v>
                </c:pt>
                <c:pt idx="65">
                  <c:v>152.45220095726162</c:v>
                </c:pt>
                <c:pt idx="66">
                  <c:v>115.98730525885453</c:v>
                </c:pt>
                <c:pt idx="67">
                  <c:v>76.028457272780557</c:v>
                </c:pt>
                <c:pt idx="68">
                  <c:v>97.512010511284458</c:v>
                </c:pt>
                <c:pt idx="69">
                  <c:v>109.93976680272833</c:v>
                </c:pt>
                <c:pt idx="70">
                  <c:v>106.00546186759912</c:v>
                </c:pt>
                <c:pt idx="71">
                  <c:v>144.06644478768948</c:v>
                </c:pt>
                <c:pt idx="72">
                  <c:v>86.118131937627808</c:v>
                </c:pt>
                <c:pt idx="73">
                  <c:v>94.579975424881567</c:v>
                </c:pt>
                <c:pt idx="74">
                  <c:v>122.58950035304113</c:v>
                </c:pt>
                <c:pt idx="75">
                  <c:v>93.670282810023068</c:v>
                </c:pt>
                <c:pt idx="76">
                  <c:v>90.244496729458547</c:v>
                </c:pt>
                <c:pt idx="77">
                  <c:v>84.199057889859148</c:v>
                </c:pt>
                <c:pt idx="78">
                  <c:v>85.499699981562898</c:v>
                </c:pt>
                <c:pt idx="79">
                  <c:v>104.74411708764347</c:v>
                </c:pt>
                <c:pt idx="80">
                  <c:v>93.88422674990332</c:v>
                </c:pt>
                <c:pt idx="81">
                  <c:v>103.79337934076555</c:v>
                </c:pt>
                <c:pt idx="82">
                  <c:v>68.658934794722555</c:v>
                </c:pt>
                <c:pt idx="83">
                  <c:v>95.001789263728327</c:v>
                </c:pt>
                <c:pt idx="84">
                  <c:v>88.149241194400076</c:v>
                </c:pt>
                <c:pt idx="85">
                  <c:v>90.827324269917426</c:v>
                </c:pt>
                <c:pt idx="86">
                  <c:v>107.47361439660156</c:v>
                </c:pt>
                <c:pt idx="87">
                  <c:v>136.82488500726052</c:v>
                </c:pt>
                <c:pt idx="88">
                  <c:v>123.70752567492126</c:v>
                </c:pt>
                <c:pt idx="89">
                  <c:v>119.36829643375528</c:v>
                </c:pt>
                <c:pt idx="90">
                  <c:v>94.394905525992286</c:v>
                </c:pt>
                <c:pt idx="91">
                  <c:v>98.700282094291808</c:v>
                </c:pt>
                <c:pt idx="92">
                  <c:v>102.69679409420112</c:v>
                </c:pt>
                <c:pt idx="93">
                  <c:v>84.634536487826708</c:v>
                </c:pt>
                <c:pt idx="94">
                  <c:v>91.928138045072927</c:v>
                </c:pt>
                <c:pt idx="95">
                  <c:v>92.573022453437986</c:v>
                </c:pt>
                <c:pt idx="96">
                  <c:v>101.79276239762829</c:v>
                </c:pt>
                <c:pt idx="97">
                  <c:v>105.67700871903574</c:v>
                </c:pt>
                <c:pt idx="98">
                  <c:v>76.031328122873163</c:v>
                </c:pt>
                <c:pt idx="99">
                  <c:v>114.29439312365425</c:v>
                </c:pt>
                <c:pt idx="100">
                  <c:v>110.18550504974583</c:v>
                </c:pt>
                <c:pt idx="101">
                  <c:v>100.21548608313179</c:v>
                </c:pt>
                <c:pt idx="102">
                  <c:v>96.206706732930144</c:v>
                </c:pt>
                <c:pt idx="103">
                  <c:v>100.12904648016891</c:v>
                </c:pt>
                <c:pt idx="104">
                  <c:v>107.3100255788823</c:v>
                </c:pt>
                <c:pt idx="105">
                  <c:v>86.592304726605335</c:v>
                </c:pt>
                <c:pt idx="106">
                  <c:v>90.594831376121888</c:v>
                </c:pt>
                <c:pt idx="107">
                  <c:v>93.349513886834615</c:v>
                </c:pt>
                <c:pt idx="108">
                  <c:v>128.44518033365401</c:v>
                </c:pt>
                <c:pt idx="109">
                  <c:v>153.35769365047301</c:v>
                </c:pt>
                <c:pt idx="110">
                  <c:v>97.403654800954399</c:v>
                </c:pt>
                <c:pt idx="111">
                  <c:v>151.447182783415</c:v>
                </c:pt>
                <c:pt idx="112">
                  <c:v>76.458152570568686</c:v>
                </c:pt>
                <c:pt idx="113">
                  <c:v>91.399102855487115</c:v>
                </c:pt>
                <c:pt idx="114">
                  <c:v>106.12790647345393</c:v>
                </c:pt>
                <c:pt idx="115">
                  <c:v>133.54328272855568</c:v>
                </c:pt>
                <c:pt idx="116">
                  <c:v>111.96313961256435</c:v>
                </c:pt>
                <c:pt idx="117">
                  <c:v>126.05952653572085</c:v>
                </c:pt>
                <c:pt idx="118">
                  <c:v>73.270565177602663</c:v>
                </c:pt>
                <c:pt idx="119">
                  <c:v>90.384475636813704</c:v>
                </c:pt>
                <c:pt idx="120">
                  <c:v>116.67131038546793</c:v>
                </c:pt>
                <c:pt idx="121">
                  <c:v>102.91877983066571</c:v>
                </c:pt>
                <c:pt idx="122">
                  <c:v>99.927818760767806</c:v>
                </c:pt>
                <c:pt idx="123">
                  <c:v>111.67118132502874</c:v>
                </c:pt>
                <c:pt idx="124">
                  <c:v>88.916560768345832</c:v>
                </c:pt>
                <c:pt idx="125">
                  <c:v>127.25548177316567</c:v>
                </c:pt>
                <c:pt idx="126">
                  <c:v>91.854871104406399</c:v>
                </c:pt>
                <c:pt idx="127">
                  <c:v>96.15374378994558</c:v>
                </c:pt>
                <c:pt idx="128">
                  <c:v>77.763443935500732</c:v>
                </c:pt>
                <c:pt idx="129">
                  <c:v>115.68420163165695</c:v>
                </c:pt>
                <c:pt idx="130">
                  <c:v>127.33300660799742</c:v>
                </c:pt>
                <c:pt idx="131">
                  <c:v>106.42404516064457</c:v>
                </c:pt>
                <c:pt idx="132">
                  <c:v>152.33230860935487</c:v>
                </c:pt>
                <c:pt idx="133">
                  <c:v>102.63201501897588</c:v>
                </c:pt>
                <c:pt idx="134">
                  <c:v>130.06306536835706</c:v>
                </c:pt>
                <c:pt idx="135">
                  <c:v>83.781318513865287</c:v>
                </c:pt>
                <c:pt idx="136">
                  <c:v>126.47593190394106</c:v>
                </c:pt>
                <c:pt idx="137">
                  <c:v>130.20337445562936</c:v>
                </c:pt>
                <c:pt idx="138">
                  <c:v>153.22184022206392</c:v>
                </c:pt>
                <c:pt idx="139">
                  <c:v>82.935592837293115</c:v>
                </c:pt>
                <c:pt idx="140">
                  <c:v>98.585600454989304</c:v>
                </c:pt>
                <c:pt idx="141">
                  <c:v>103.13024135656551</c:v>
                </c:pt>
                <c:pt idx="142">
                  <c:v>75.058562238900734</c:v>
                </c:pt>
                <c:pt idx="143">
                  <c:v>117.23579984833654</c:v>
                </c:pt>
                <c:pt idx="144">
                  <c:v>145.25188442817137</c:v>
                </c:pt>
                <c:pt idx="145">
                  <c:v>65.943166564789962</c:v>
                </c:pt>
                <c:pt idx="146">
                  <c:v>149.71995148720117</c:v>
                </c:pt>
                <c:pt idx="147">
                  <c:v>85.549779248761112</c:v>
                </c:pt>
                <c:pt idx="148">
                  <c:v>129.00396870015456</c:v>
                </c:pt>
                <c:pt idx="149">
                  <c:v>110.96363640101411</c:v>
                </c:pt>
                <c:pt idx="150">
                  <c:v>66.255083356872476</c:v>
                </c:pt>
                <c:pt idx="151">
                  <c:v>98.745391893013704</c:v>
                </c:pt>
                <c:pt idx="152">
                  <c:v>98.375051043838539</c:v>
                </c:pt>
                <c:pt idx="153">
                  <c:v>86.804754705776404</c:v>
                </c:pt>
                <c:pt idx="154">
                  <c:v>126.43709743390629</c:v>
                </c:pt>
                <c:pt idx="155">
                  <c:v>123.54763335388567</c:v>
                </c:pt>
                <c:pt idx="156">
                  <c:v>181.75274964099546</c:v>
                </c:pt>
                <c:pt idx="157">
                  <c:v>110.8978064819305</c:v>
                </c:pt>
                <c:pt idx="158">
                  <c:v>114.40621272684022</c:v>
                </c:pt>
                <c:pt idx="159">
                  <c:v>145.53690236031471</c:v>
                </c:pt>
                <c:pt idx="160">
                  <c:v>89.247274670102797</c:v>
                </c:pt>
                <c:pt idx="161">
                  <c:v>144.65791899358558</c:v>
                </c:pt>
                <c:pt idx="162">
                  <c:v>98.194779217845038</c:v>
                </c:pt>
                <c:pt idx="163">
                  <c:v>125.56094234104319</c:v>
                </c:pt>
                <c:pt idx="164">
                  <c:v>115.49357948075421</c:v>
                </c:pt>
                <c:pt idx="165">
                  <c:v>102.98218813891174</c:v>
                </c:pt>
                <c:pt idx="166">
                  <c:v>114.15959392299219</c:v>
                </c:pt>
                <c:pt idx="167">
                  <c:v>72.675502795997332</c:v>
                </c:pt>
                <c:pt idx="168">
                  <c:v>89.763787360545891</c:v>
                </c:pt>
                <c:pt idx="169">
                  <c:v>105.33690477564726</c:v>
                </c:pt>
                <c:pt idx="170">
                  <c:v>110.83102908544832</c:v>
                </c:pt>
                <c:pt idx="171">
                  <c:v>105.01528870973591</c:v>
                </c:pt>
                <c:pt idx="172">
                  <c:v>111.49544097839591</c:v>
                </c:pt>
                <c:pt idx="173">
                  <c:v>86.024058069532543</c:v>
                </c:pt>
                <c:pt idx="174">
                  <c:v>81.298386835996737</c:v>
                </c:pt>
                <c:pt idx="175">
                  <c:v>65.803672715864437</c:v>
                </c:pt>
                <c:pt idx="176">
                  <c:v>71.695283013659321</c:v>
                </c:pt>
                <c:pt idx="177">
                  <c:v>74.988224028727046</c:v>
                </c:pt>
                <c:pt idx="178">
                  <c:v>126.61901532092573</c:v>
                </c:pt>
                <c:pt idx="179">
                  <c:v>86.47501912558532</c:v>
                </c:pt>
                <c:pt idx="180">
                  <c:v>116.39605104490197</c:v>
                </c:pt>
                <c:pt idx="181">
                  <c:v>113.58084634427382</c:v>
                </c:pt>
                <c:pt idx="182">
                  <c:v>76.497188128355731</c:v>
                </c:pt>
                <c:pt idx="183">
                  <c:v>85.699395503519781</c:v>
                </c:pt>
                <c:pt idx="184">
                  <c:v>83.324203312533598</c:v>
                </c:pt>
                <c:pt idx="185">
                  <c:v>87.014796295382325</c:v>
                </c:pt>
                <c:pt idx="186">
                  <c:v>62.690102067364997</c:v>
                </c:pt>
                <c:pt idx="187">
                  <c:v>130.58323271816843</c:v>
                </c:pt>
                <c:pt idx="188">
                  <c:v>76.12366462772296</c:v>
                </c:pt>
                <c:pt idx="189">
                  <c:v>79.7490826046661</c:v>
                </c:pt>
                <c:pt idx="190">
                  <c:v>87.295052565793142</c:v>
                </c:pt>
                <c:pt idx="191">
                  <c:v>139.79381290158443</c:v>
                </c:pt>
                <c:pt idx="192">
                  <c:v>119.92691587085395</c:v>
                </c:pt>
                <c:pt idx="193">
                  <c:v>124.27443609580192</c:v>
                </c:pt>
                <c:pt idx="194">
                  <c:v>84.511548588032255</c:v>
                </c:pt>
                <c:pt idx="195">
                  <c:v>83.11537311204529</c:v>
                </c:pt>
                <c:pt idx="196">
                  <c:v>83.343549353715872</c:v>
                </c:pt>
                <c:pt idx="197">
                  <c:v>82.995609336556527</c:v>
                </c:pt>
                <c:pt idx="198">
                  <c:v>89.248156449724164</c:v>
                </c:pt>
                <c:pt idx="199">
                  <c:v>73.174758143431404</c:v>
                </c:pt>
                <c:pt idx="200">
                  <c:v>125.95851806628029</c:v>
                </c:pt>
                <c:pt idx="201">
                  <c:v>92.489748699922728</c:v>
                </c:pt>
                <c:pt idx="202">
                  <c:v>142.878283142729</c:v>
                </c:pt>
                <c:pt idx="203">
                  <c:v>100.62090478275854</c:v>
                </c:pt>
                <c:pt idx="204">
                  <c:v>92.783190848179302</c:v>
                </c:pt>
                <c:pt idx="205">
                  <c:v>87.721724449293845</c:v>
                </c:pt>
                <c:pt idx="206">
                  <c:v>83.594586802925278</c:v>
                </c:pt>
                <c:pt idx="207">
                  <c:v>111.50705579854603</c:v>
                </c:pt>
                <c:pt idx="208">
                  <c:v>117.40037679100739</c:v>
                </c:pt>
                <c:pt idx="209">
                  <c:v>114.93458817055944</c:v>
                </c:pt>
                <c:pt idx="210">
                  <c:v>103.79998593921698</c:v>
                </c:pt>
                <c:pt idx="211">
                  <c:v>94.085735312721823</c:v>
                </c:pt>
                <c:pt idx="212">
                  <c:v>114.91418843743128</c:v>
                </c:pt>
                <c:pt idx="213">
                  <c:v>114.51646037261716</c:v>
                </c:pt>
                <c:pt idx="214">
                  <c:v>115.88112883208068</c:v>
                </c:pt>
                <c:pt idx="215">
                  <c:v>92.437489031963167</c:v>
                </c:pt>
                <c:pt idx="216">
                  <c:v>119.10855085886368</c:v>
                </c:pt>
                <c:pt idx="217">
                  <c:v>144.0559137310068</c:v>
                </c:pt>
                <c:pt idx="218">
                  <c:v>97.116014219018922</c:v>
                </c:pt>
                <c:pt idx="219">
                  <c:v>88.364654396994112</c:v>
                </c:pt>
                <c:pt idx="220">
                  <c:v>108.47966048710862</c:v>
                </c:pt>
                <c:pt idx="221">
                  <c:v>107.21217902595343</c:v>
                </c:pt>
                <c:pt idx="222">
                  <c:v>101.78771103425474</c:v>
                </c:pt>
                <c:pt idx="223">
                  <c:v>92.508497149060958</c:v>
                </c:pt>
                <c:pt idx="224">
                  <c:v>74.749909601751853</c:v>
                </c:pt>
                <c:pt idx="225">
                  <c:v>86.994316643170876</c:v>
                </c:pt>
                <c:pt idx="226">
                  <c:v>87.6630360255798</c:v>
                </c:pt>
                <c:pt idx="227">
                  <c:v>78.895498812606803</c:v>
                </c:pt>
                <c:pt idx="228">
                  <c:v>117.47698030536905</c:v>
                </c:pt>
                <c:pt idx="229">
                  <c:v>102.77916629158506</c:v>
                </c:pt>
                <c:pt idx="230">
                  <c:v>120.7360174986094</c:v>
                </c:pt>
                <c:pt idx="231">
                  <c:v>82.253334192584475</c:v>
                </c:pt>
                <c:pt idx="232">
                  <c:v>96.817965989461882</c:v>
                </c:pt>
                <c:pt idx="233">
                  <c:v>78.665066810877619</c:v>
                </c:pt>
                <c:pt idx="234">
                  <c:v>91.323623403173968</c:v>
                </c:pt>
                <c:pt idx="235">
                  <c:v>149.87293147484453</c:v>
                </c:pt>
                <c:pt idx="236">
                  <c:v>81.989871046456713</c:v>
                </c:pt>
                <c:pt idx="237">
                  <c:v>103.9387824318854</c:v>
                </c:pt>
                <c:pt idx="238">
                  <c:v>96.685715102285641</c:v>
                </c:pt>
                <c:pt idx="239">
                  <c:v>124.12891355499004</c:v>
                </c:pt>
                <c:pt idx="240">
                  <c:v>115.28309472694943</c:v>
                </c:pt>
                <c:pt idx="241">
                  <c:v>109.94217789253469</c:v>
                </c:pt>
                <c:pt idx="242">
                  <c:v>80.265855450795058</c:v>
                </c:pt>
                <c:pt idx="243">
                  <c:v>119.76908366565581</c:v>
                </c:pt>
                <c:pt idx="244">
                  <c:v>113.3576164732235</c:v>
                </c:pt>
                <c:pt idx="245">
                  <c:v>142.84740258275656</c:v>
                </c:pt>
                <c:pt idx="246">
                  <c:v>112.24066098322523</c:v>
                </c:pt>
                <c:pt idx="247">
                  <c:v>129.90300627352951</c:v>
                </c:pt>
                <c:pt idx="248">
                  <c:v>125.76019067785516</c:v>
                </c:pt>
                <c:pt idx="249">
                  <c:v>139.88279903507981</c:v>
                </c:pt>
                <c:pt idx="250">
                  <c:v>112.33838281949328</c:v>
                </c:pt>
                <c:pt idx="251">
                  <c:v>97.522037914410944</c:v>
                </c:pt>
                <c:pt idx="252">
                  <c:v>93.91484231364538</c:v>
                </c:pt>
                <c:pt idx="253">
                  <c:v>115.22198339463893</c:v>
                </c:pt>
                <c:pt idx="254">
                  <c:v>148.55369016427031</c:v>
                </c:pt>
                <c:pt idx="255">
                  <c:v>57.316358085604044</c:v>
                </c:pt>
                <c:pt idx="256">
                  <c:v>116.25924311795325</c:v>
                </c:pt>
                <c:pt idx="257">
                  <c:v>73.21645783465884</c:v>
                </c:pt>
                <c:pt idx="258">
                  <c:v>125.33835427393326</c:v>
                </c:pt>
                <c:pt idx="259">
                  <c:v>94.406831618048741</c:v>
                </c:pt>
                <c:pt idx="260">
                  <c:v>131.55439244676677</c:v>
                </c:pt>
                <c:pt idx="261">
                  <c:v>131.15322042185321</c:v>
                </c:pt>
                <c:pt idx="262">
                  <c:v>90.364203277817992</c:v>
                </c:pt>
                <c:pt idx="263">
                  <c:v>122.96512772318188</c:v>
                </c:pt>
                <c:pt idx="264">
                  <c:v>83.802906964067986</c:v>
                </c:pt>
                <c:pt idx="265">
                  <c:v>93.724741723621207</c:v>
                </c:pt>
                <c:pt idx="266">
                  <c:v>66.139256296783998</c:v>
                </c:pt>
                <c:pt idx="267">
                  <c:v>82.060428293622763</c:v>
                </c:pt>
                <c:pt idx="268">
                  <c:v>82.725573926149764</c:v>
                </c:pt>
                <c:pt idx="269">
                  <c:v>120.53348326135433</c:v>
                </c:pt>
                <c:pt idx="270">
                  <c:v>100.84682086622809</c:v>
                </c:pt>
                <c:pt idx="271">
                  <c:v>113.98751565568779</c:v>
                </c:pt>
                <c:pt idx="272">
                  <c:v>104.19546148256939</c:v>
                </c:pt>
                <c:pt idx="273">
                  <c:v>80.56303998198905</c:v>
                </c:pt>
                <c:pt idx="274">
                  <c:v>91.064239704622679</c:v>
                </c:pt>
                <c:pt idx="275">
                  <c:v>125.07759631834277</c:v>
                </c:pt>
                <c:pt idx="276">
                  <c:v>126.65309516949328</c:v>
                </c:pt>
                <c:pt idx="277">
                  <c:v>75.054293958703909</c:v>
                </c:pt>
                <c:pt idx="278">
                  <c:v>83.903315822832354</c:v>
                </c:pt>
                <c:pt idx="279">
                  <c:v>120.94057386265477</c:v>
                </c:pt>
                <c:pt idx="280">
                  <c:v>86.497021245577997</c:v>
                </c:pt>
                <c:pt idx="281">
                  <c:v>92.937361484661309</c:v>
                </c:pt>
                <c:pt idx="282">
                  <c:v>91.556961489221692</c:v>
                </c:pt>
                <c:pt idx="283">
                  <c:v>98.302545049031821</c:v>
                </c:pt>
                <c:pt idx="284">
                  <c:v>78.621727231652187</c:v>
                </c:pt>
                <c:pt idx="285">
                  <c:v>98.859772343632088</c:v>
                </c:pt>
                <c:pt idx="286">
                  <c:v>107.5220543928336</c:v>
                </c:pt>
                <c:pt idx="287">
                  <c:v>117.92418071751537</c:v>
                </c:pt>
                <c:pt idx="288">
                  <c:v>76.068597144436126</c:v>
                </c:pt>
                <c:pt idx="289">
                  <c:v>91.727604289689779</c:v>
                </c:pt>
                <c:pt idx="290">
                  <c:v>132.4819923758503</c:v>
                </c:pt>
                <c:pt idx="291">
                  <c:v>65.749787924848164</c:v>
                </c:pt>
                <c:pt idx="292">
                  <c:v>110.18701668511966</c:v>
                </c:pt>
                <c:pt idx="293">
                  <c:v>120.61284549818846</c:v>
                </c:pt>
                <c:pt idx="294">
                  <c:v>129.8430248627956</c:v>
                </c:pt>
                <c:pt idx="295">
                  <c:v>115.64790351452841</c:v>
                </c:pt>
                <c:pt idx="296">
                  <c:v>112.26393497270618</c:v>
                </c:pt>
                <c:pt idx="297">
                  <c:v>71.90556323383737</c:v>
                </c:pt>
                <c:pt idx="298">
                  <c:v>91.867424046575962</c:v>
                </c:pt>
                <c:pt idx="299">
                  <c:v>146.21749382118722</c:v>
                </c:pt>
                <c:pt idx="300">
                  <c:v>91.892538837223583</c:v>
                </c:pt>
                <c:pt idx="301">
                  <c:v>80.275008080630712</c:v>
                </c:pt>
                <c:pt idx="302">
                  <c:v>97.510029866088317</c:v>
                </c:pt>
                <c:pt idx="303">
                  <c:v>84.549616856666276</c:v>
                </c:pt>
                <c:pt idx="304">
                  <c:v>197.9920548515471</c:v>
                </c:pt>
                <c:pt idx="305">
                  <c:v>125.33365229253067</c:v>
                </c:pt>
                <c:pt idx="306">
                  <c:v>82.999711105358728</c:v>
                </c:pt>
                <c:pt idx="307">
                  <c:v>97.441329111780988</c:v>
                </c:pt>
                <c:pt idx="308">
                  <c:v>83.977467903374489</c:v>
                </c:pt>
                <c:pt idx="309">
                  <c:v>100.74705797703072</c:v>
                </c:pt>
                <c:pt idx="310">
                  <c:v>101.79526692208297</c:v>
                </c:pt>
                <c:pt idx="311">
                  <c:v>86.002278315381901</c:v>
                </c:pt>
                <c:pt idx="312">
                  <c:v>71.354165205376574</c:v>
                </c:pt>
                <c:pt idx="313">
                  <c:v>126.78230469991867</c:v>
                </c:pt>
                <c:pt idx="314">
                  <c:v>113.78395182041422</c:v>
                </c:pt>
                <c:pt idx="315">
                  <c:v>112.93629061815973</c:v>
                </c:pt>
                <c:pt idx="316">
                  <c:v>105.83432020820206</c:v>
                </c:pt>
                <c:pt idx="317">
                  <c:v>111.76281530942794</c:v>
                </c:pt>
                <c:pt idx="318">
                  <c:v>105.77833143507196</c:v>
                </c:pt>
                <c:pt idx="319">
                  <c:v>94.415008563346433</c:v>
                </c:pt>
                <c:pt idx="320">
                  <c:v>102.64836791452244</c:v>
                </c:pt>
                <c:pt idx="321">
                  <c:v>70.096986194953701</c:v>
                </c:pt>
                <c:pt idx="322">
                  <c:v>122.05489850575557</c:v>
                </c:pt>
                <c:pt idx="323">
                  <c:v>106.9436234519567</c:v>
                </c:pt>
                <c:pt idx="324">
                  <c:v>68.681702813040076</c:v>
                </c:pt>
                <c:pt idx="325">
                  <c:v>106.6555299046538</c:v>
                </c:pt>
                <c:pt idx="326">
                  <c:v>118.13339312447479</c:v>
                </c:pt>
                <c:pt idx="327">
                  <c:v>111.47223172547078</c:v>
                </c:pt>
                <c:pt idx="328">
                  <c:v>78.241383528427704</c:v>
                </c:pt>
                <c:pt idx="329">
                  <c:v>129.1994103414834</c:v>
                </c:pt>
                <c:pt idx="330">
                  <c:v>100.14254695089029</c:v>
                </c:pt>
                <c:pt idx="331">
                  <c:v>101.73447314609142</c:v>
                </c:pt>
                <c:pt idx="332">
                  <c:v>76.159822863792513</c:v>
                </c:pt>
                <c:pt idx="333">
                  <c:v>67.75739368795891</c:v>
                </c:pt>
                <c:pt idx="334">
                  <c:v>108.97213804183303</c:v>
                </c:pt>
                <c:pt idx="335">
                  <c:v>113.23857255938728</c:v>
                </c:pt>
                <c:pt idx="336">
                  <c:v>131.84084503945999</c:v>
                </c:pt>
                <c:pt idx="337">
                  <c:v>74.533421718346091</c:v>
                </c:pt>
                <c:pt idx="338">
                  <c:v>127.02092792014909</c:v>
                </c:pt>
                <c:pt idx="339">
                  <c:v>69.200908925094836</c:v>
                </c:pt>
                <c:pt idx="340">
                  <c:v>111.88340618172901</c:v>
                </c:pt>
                <c:pt idx="341">
                  <c:v>127.87293266205161</c:v>
                </c:pt>
                <c:pt idx="342">
                  <c:v>130.48861208820747</c:v>
                </c:pt>
                <c:pt idx="343">
                  <c:v>120.27671381305765</c:v>
                </c:pt>
                <c:pt idx="344">
                  <c:v>108.13297520491511</c:v>
                </c:pt>
                <c:pt idx="345">
                  <c:v>115.21488911333481</c:v>
                </c:pt>
                <c:pt idx="346">
                  <c:v>126.25506614162296</c:v>
                </c:pt>
                <c:pt idx="347">
                  <c:v>108.3778844874919</c:v>
                </c:pt>
                <c:pt idx="348">
                  <c:v>110.3337951578077</c:v>
                </c:pt>
                <c:pt idx="349">
                  <c:v>80.359315072405437</c:v>
                </c:pt>
                <c:pt idx="350">
                  <c:v>76.64587099595775</c:v>
                </c:pt>
                <c:pt idx="351">
                  <c:v>116.78973850599064</c:v>
                </c:pt>
                <c:pt idx="352">
                  <c:v>96.132033257028212</c:v>
                </c:pt>
                <c:pt idx="353">
                  <c:v>99.361271767352036</c:v>
                </c:pt>
                <c:pt idx="354">
                  <c:v>116.6190411188697</c:v>
                </c:pt>
                <c:pt idx="355">
                  <c:v>109.18307696917331</c:v>
                </c:pt>
                <c:pt idx="356">
                  <c:v>80.995274003684685</c:v>
                </c:pt>
                <c:pt idx="357">
                  <c:v>128.41446014903818</c:v>
                </c:pt>
                <c:pt idx="358">
                  <c:v>97.77901191633039</c:v>
                </c:pt>
                <c:pt idx="359">
                  <c:v>101.93734497864412</c:v>
                </c:pt>
                <c:pt idx="360">
                  <c:v>86.971153133070615</c:v>
                </c:pt>
                <c:pt idx="361">
                  <c:v>99.892548895059377</c:v>
                </c:pt>
                <c:pt idx="362">
                  <c:v>93.515443082422763</c:v>
                </c:pt>
                <c:pt idx="363">
                  <c:v>151.50921393706318</c:v>
                </c:pt>
                <c:pt idx="364">
                  <c:v>94.099018695229105</c:v>
                </c:pt>
                <c:pt idx="365">
                  <c:v>126.78439876579735</c:v>
                </c:pt>
                <c:pt idx="366">
                  <c:v>89.18842884244215</c:v>
                </c:pt>
                <c:pt idx="367">
                  <c:v>79.592696211811415</c:v>
                </c:pt>
                <c:pt idx="368">
                  <c:v>102.18765425186722</c:v>
                </c:pt>
                <c:pt idx="369">
                  <c:v>86.669575583092524</c:v>
                </c:pt>
                <c:pt idx="370">
                  <c:v>98.094427788220784</c:v>
                </c:pt>
                <c:pt idx="371">
                  <c:v>104.5511474279176</c:v>
                </c:pt>
                <c:pt idx="372">
                  <c:v>121.44908183484549</c:v>
                </c:pt>
                <c:pt idx="373">
                  <c:v>95.619441808312629</c:v>
                </c:pt>
                <c:pt idx="374">
                  <c:v>93.146103999848066</c:v>
                </c:pt>
                <c:pt idx="375">
                  <c:v>98.308438299282585</c:v>
                </c:pt>
                <c:pt idx="376">
                  <c:v>74.769565317277426</c:v>
                </c:pt>
                <c:pt idx="377">
                  <c:v>96.352425997007032</c:v>
                </c:pt>
                <c:pt idx="378">
                  <c:v>89.677270750345087</c:v>
                </c:pt>
                <c:pt idx="379">
                  <c:v>115.38699924577033</c:v>
                </c:pt>
                <c:pt idx="380">
                  <c:v>123.95741019409579</c:v>
                </c:pt>
                <c:pt idx="381">
                  <c:v>113.8253262329128</c:v>
                </c:pt>
                <c:pt idx="382">
                  <c:v>129.42403047056092</c:v>
                </c:pt>
                <c:pt idx="383">
                  <c:v>95.220020522806948</c:v>
                </c:pt>
                <c:pt idx="384">
                  <c:v>93.858159038329376</c:v>
                </c:pt>
                <c:pt idx="385">
                  <c:v>100.43441951184974</c:v>
                </c:pt>
                <c:pt idx="386">
                  <c:v>72.385542406834759</c:v>
                </c:pt>
                <c:pt idx="387">
                  <c:v>84.447423245447013</c:v>
                </c:pt>
                <c:pt idx="388">
                  <c:v>98.825856118279319</c:v>
                </c:pt>
                <c:pt idx="389">
                  <c:v>129.03484073170645</c:v>
                </c:pt>
                <c:pt idx="390">
                  <c:v>119.03427111290488</c:v>
                </c:pt>
                <c:pt idx="391">
                  <c:v>146.02345452955663</c:v>
                </c:pt>
                <c:pt idx="392">
                  <c:v>106.3876064447641</c:v>
                </c:pt>
                <c:pt idx="393">
                  <c:v>97.922836989206317</c:v>
                </c:pt>
                <c:pt idx="394">
                  <c:v>136.1744513423647</c:v>
                </c:pt>
                <c:pt idx="395">
                  <c:v>158.95441315928903</c:v>
                </c:pt>
                <c:pt idx="396">
                  <c:v>93.98944776660916</c:v>
                </c:pt>
                <c:pt idx="397">
                  <c:v>119.52653837506034</c:v>
                </c:pt>
                <c:pt idx="398">
                  <c:v>187.4169680374338</c:v>
                </c:pt>
                <c:pt idx="399">
                  <c:v>114.81623278993095</c:v>
                </c:pt>
                <c:pt idx="400">
                  <c:v>89.864903481779905</c:v>
                </c:pt>
                <c:pt idx="401">
                  <c:v>120.27892043383287</c:v>
                </c:pt>
                <c:pt idx="402">
                  <c:v>104.0932777504451</c:v>
                </c:pt>
                <c:pt idx="403">
                  <c:v>137.14938342006681</c:v>
                </c:pt>
                <c:pt idx="404">
                  <c:v>103.87530339398779</c:v>
                </c:pt>
                <c:pt idx="405">
                  <c:v>121.00709783959411</c:v>
                </c:pt>
                <c:pt idx="406">
                  <c:v>94.613800981928335</c:v>
                </c:pt>
                <c:pt idx="407">
                  <c:v>90.269777921457248</c:v>
                </c:pt>
                <c:pt idx="408">
                  <c:v>110.47002404987205</c:v>
                </c:pt>
                <c:pt idx="409">
                  <c:v>99.906548629291009</c:v>
                </c:pt>
                <c:pt idx="410">
                  <c:v>97.331783738488539</c:v>
                </c:pt>
                <c:pt idx="411">
                  <c:v>104.3633998554977</c:v>
                </c:pt>
                <c:pt idx="412">
                  <c:v>116.57022941106869</c:v>
                </c:pt>
                <c:pt idx="413">
                  <c:v>94.389909261325201</c:v>
                </c:pt>
                <c:pt idx="414">
                  <c:v>122.86158984934659</c:v>
                </c:pt>
                <c:pt idx="415">
                  <c:v>117.50385451913985</c:v>
                </c:pt>
                <c:pt idx="416">
                  <c:v>101.53369315371042</c:v>
                </c:pt>
                <c:pt idx="417">
                  <c:v>90.009585204235918</c:v>
                </c:pt>
                <c:pt idx="418">
                  <c:v>85.387761539487897</c:v>
                </c:pt>
                <c:pt idx="419">
                  <c:v>117.78291376002541</c:v>
                </c:pt>
                <c:pt idx="420">
                  <c:v>92.395038269944877</c:v>
                </c:pt>
                <c:pt idx="421">
                  <c:v>132.69933566840433</c:v>
                </c:pt>
                <c:pt idx="422">
                  <c:v>98.239218345506501</c:v>
                </c:pt>
                <c:pt idx="423">
                  <c:v>105.7025662059752</c:v>
                </c:pt>
                <c:pt idx="424">
                  <c:v>81.504609222339155</c:v>
                </c:pt>
                <c:pt idx="425">
                  <c:v>87.456801870804753</c:v>
                </c:pt>
                <c:pt idx="426">
                  <c:v>94.308666494188515</c:v>
                </c:pt>
                <c:pt idx="427">
                  <c:v>77.350432601128759</c:v>
                </c:pt>
                <c:pt idx="428">
                  <c:v>112.51702727712915</c:v>
                </c:pt>
                <c:pt idx="429">
                  <c:v>100.10251205856238</c:v>
                </c:pt>
                <c:pt idx="430">
                  <c:v>82.296864608952561</c:v>
                </c:pt>
                <c:pt idx="431">
                  <c:v>132.45950564944374</c:v>
                </c:pt>
                <c:pt idx="432">
                  <c:v>90.018274699387916</c:v>
                </c:pt>
                <c:pt idx="433">
                  <c:v>76.421705470399772</c:v>
                </c:pt>
                <c:pt idx="434">
                  <c:v>89.374076490901061</c:v>
                </c:pt>
                <c:pt idx="435">
                  <c:v>103.85925774825027</c:v>
                </c:pt>
                <c:pt idx="436">
                  <c:v>80.88216862798221</c:v>
                </c:pt>
                <c:pt idx="437">
                  <c:v>119.44010402505428</c:v>
                </c:pt>
                <c:pt idx="438">
                  <c:v>134.59669271326348</c:v>
                </c:pt>
                <c:pt idx="439">
                  <c:v>92.180266951278412</c:v>
                </c:pt>
                <c:pt idx="440">
                  <c:v>105.76736983193085</c:v>
                </c:pt>
                <c:pt idx="441">
                  <c:v>104.47447424263699</c:v>
                </c:pt>
                <c:pt idx="442">
                  <c:v>80.930486018647173</c:v>
                </c:pt>
                <c:pt idx="443">
                  <c:v>110.07785431382061</c:v>
                </c:pt>
                <c:pt idx="444">
                  <c:v>109.14225648208705</c:v>
                </c:pt>
                <c:pt idx="445">
                  <c:v>113.52590483066326</c:v>
                </c:pt>
                <c:pt idx="446">
                  <c:v>137.8291408209063</c:v>
                </c:pt>
                <c:pt idx="447">
                  <c:v>102.67598346672698</c:v>
                </c:pt>
                <c:pt idx="448">
                  <c:v>89.652426093022967</c:v>
                </c:pt>
                <c:pt idx="449">
                  <c:v>166.38729493755821</c:v>
                </c:pt>
                <c:pt idx="450">
                  <c:v>82.457889413052641</c:v>
                </c:pt>
                <c:pt idx="451">
                  <c:v>124.22163192092056</c:v>
                </c:pt>
                <c:pt idx="452">
                  <c:v>84.900142988521509</c:v>
                </c:pt>
                <c:pt idx="453">
                  <c:v>130.51362707440228</c:v>
                </c:pt>
                <c:pt idx="454">
                  <c:v>98.010943929828329</c:v>
                </c:pt>
                <c:pt idx="455">
                  <c:v>115.37708287228217</c:v>
                </c:pt>
                <c:pt idx="456">
                  <c:v>124.89153635195322</c:v>
                </c:pt>
                <c:pt idx="457">
                  <c:v>140.96242201948988</c:v>
                </c:pt>
                <c:pt idx="458">
                  <c:v>84.140681592028855</c:v>
                </c:pt>
                <c:pt idx="459">
                  <c:v>131.77932123431458</c:v>
                </c:pt>
                <c:pt idx="460">
                  <c:v>124.14438657659029</c:v>
                </c:pt>
                <c:pt idx="461">
                  <c:v>105.82625076502724</c:v>
                </c:pt>
                <c:pt idx="462">
                  <c:v>93.049874220213084</c:v>
                </c:pt>
                <c:pt idx="463">
                  <c:v>100.08327557581526</c:v>
                </c:pt>
                <c:pt idx="464">
                  <c:v>99.798619088216796</c:v>
                </c:pt>
                <c:pt idx="465">
                  <c:v>86.645991187046647</c:v>
                </c:pt>
                <c:pt idx="466">
                  <c:v>89.042286575050014</c:v>
                </c:pt>
                <c:pt idx="467">
                  <c:v>86.553059530580768</c:v>
                </c:pt>
                <c:pt idx="468">
                  <c:v>106.16308986918777</c:v>
                </c:pt>
                <c:pt idx="469">
                  <c:v>87.560888752025022</c:v>
                </c:pt>
                <c:pt idx="470">
                  <c:v>112.62635184177327</c:v>
                </c:pt>
                <c:pt idx="471">
                  <c:v>131.80309386711707</c:v>
                </c:pt>
                <c:pt idx="472">
                  <c:v>80.326899143061041</c:v>
                </c:pt>
                <c:pt idx="473">
                  <c:v>154.346091667667</c:v>
                </c:pt>
                <c:pt idx="474">
                  <c:v>87.05901131149696</c:v>
                </c:pt>
                <c:pt idx="475">
                  <c:v>99.05801776072569</c:v>
                </c:pt>
                <c:pt idx="476">
                  <c:v>94.177259866595477</c:v>
                </c:pt>
                <c:pt idx="477">
                  <c:v>108.3576790793104</c:v>
                </c:pt>
                <c:pt idx="478">
                  <c:v>86.258694491190298</c:v>
                </c:pt>
                <c:pt idx="479">
                  <c:v>122.26644356620659</c:v>
                </c:pt>
                <c:pt idx="480">
                  <c:v>99.627077807780381</c:v>
                </c:pt>
                <c:pt idx="481">
                  <c:v>111.74926473465935</c:v>
                </c:pt>
                <c:pt idx="482">
                  <c:v>106.43154878220032</c:v>
                </c:pt>
                <c:pt idx="483">
                  <c:v>99.926976243230797</c:v>
                </c:pt>
                <c:pt idx="484">
                  <c:v>100.64424884595833</c:v>
                </c:pt>
                <c:pt idx="485">
                  <c:v>87.358662518598521</c:v>
                </c:pt>
                <c:pt idx="486">
                  <c:v>104.27024457810073</c:v>
                </c:pt>
                <c:pt idx="487">
                  <c:v>104.23750530175795</c:v>
                </c:pt>
                <c:pt idx="488">
                  <c:v>112.83021648315506</c:v>
                </c:pt>
                <c:pt idx="489">
                  <c:v>80.886855309997145</c:v>
                </c:pt>
                <c:pt idx="490">
                  <c:v>162.45077166122351</c:v>
                </c:pt>
                <c:pt idx="491">
                  <c:v>83.160219495048537</c:v>
                </c:pt>
                <c:pt idx="492">
                  <c:v>114.20638674847879</c:v>
                </c:pt>
                <c:pt idx="493">
                  <c:v>120.04871449318519</c:v>
                </c:pt>
                <c:pt idx="494">
                  <c:v>86.086277559386076</c:v>
                </c:pt>
                <c:pt idx="495">
                  <c:v>148.20368794145116</c:v>
                </c:pt>
                <c:pt idx="496">
                  <c:v>99.526545007003222</c:v>
                </c:pt>
                <c:pt idx="497">
                  <c:v>91.326760259815885</c:v>
                </c:pt>
                <c:pt idx="498">
                  <c:v>121.62274547118757</c:v>
                </c:pt>
                <c:pt idx="499">
                  <c:v>133.33089200759491</c:v>
                </c:pt>
                <c:pt idx="500">
                  <c:v>93.261591947238585</c:v>
                </c:pt>
                <c:pt idx="501">
                  <c:v>88.804693024381919</c:v>
                </c:pt>
                <c:pt idx="502">
                  <c:v>142.33739934621283</c:v>
                </c:pt>
                <c:pt idx="503">
                  <c:v>89.595620354677209</c:v>
                </c:pt>
                <c:pt idx="504">
                  <c:v>74.125365703681453</c:v>
                </c:pt>
                <c:pt idx="505">
                  <c:v>75.720480560399849</c:v>
                </c:pt>
                <c:pt idx="506">
                  <c:v>96.607440140429489</c:v>
                </c:pt>
                <c:pt idx="507">
                  <c:v>115.40715896431315</c:v>
                </c:pt>
                <c:pt idx="508">
                  <c:v>101.63761216434634</c:v>
                </c:pt>
                <c:pt idx="509">
                  <c:v>138.59090737325289</c:v>
                </c:pt>
                <c:pt idx="510">
                  <c:v>73.283950292111697</c:v>
                </c:pt>
                <c:pt idx="511">
                  <c:v>78.886905830486526</c:v>
                </c:pt>
                <c:pt idx="512">
                  <c:v>125.45343803676808</c:v>
                </c:pt>
                <c:pt idx="513">
                  <c:v>94.77931984081475</c:v>
                </c:pt>
                <c:pt idx="514">
                  <c:v>115.43268151329062</c:v>
                </c:pt>
                <c:pt idx="515">
                  <c:v>81.627643168471081</c:v>
                </c:pt>
                <c:pt idx="516">
                  <c:v>74.387368028685884</c:v>
                </c:pt>
                <c:pt idx="517">
                  <c:v>116.83795949399712</c:v>
                </c:pt>
                <c:pt idx="518">
                  <c:v>114.91454988449601</c:v>
                </c:pt>
                <c:pt idx="519">
                  <c:v>108.73205661811747</c:v>
                </c:pt>
                <c:pt idx="520">
                  <c:v>68.395466597900906</c:v>
                </c:pt>
                <c:pt idx="521">
                  <c:v>84.380433360452301</c:v>
                </c:pt>
                <c:pt idx="522">
                  <c:v>79.234542951554701</c:v>
                </c:pt>
                <c:pt idx="523">
                  <c:v>107.72478731880574</c:v>
                </c:pt>
                <c:pt idx="524">
                  <c:v>137.16140950722283</c:v>
                </c:pt>
                <c:pt idx="525">
                  <c:v>77.139399381721375</c:v>
                </c:pt>
                <c:pt idx="526">
                  <c:v>98.80573259344871</c:v>
                </c:pt>
                <c:pt idx="527">
                  <c:v>115.94938925092485</c:v>
                </c:pt>
                <c:pt idx="528">
                  <c:v>89.813144722501818</c:v>
                </c:pt>
                <c:pt idx="529">
                  <c:v>136.64803572827645</c:v>
                </c:pt>
                <c:pt idx="530">
                  <c:v>90.075885548879256</c:v>
                </c:pt>
                <c:pt idx="531">
                  <c:v>120.98906135488292</c:v>
                </c:pt>
                <c:pt idx="532">
                  <c:v>112.79061676623499</c:v>
                </c:pt>
                <c:pt idx="533">
                  <c:v>95.406760754473879</c:v>
                </c:pt>
                <c:pt idx="534">
                  <c:v>100.27193481831335</c:v>
                </c:pt>
                <c:pt idx="535">
                  <c:v>104.96755068624711</c:v>
                </c:pt>
                <c:pt idx="536">
                  <c:v>100.96445598172258</c:v>
                </c:pt>
                <c:pt idx="537">
                  <c:v>93.911566739112857</c:v>
                </c:pt>
                <c:pt idx="538">
                  <c:v>85.179479505831821</c:v>
                </c:pt>
                <c:pt idx="539">
                  <c:v>137.70441711464002</c:v>
                </c:pt>
                <c:pt idx="540">
                  <c:v>113.91210660071741</c:v>
                </c:pt>
                <c:pt idx="541">
                  <c:v>72.235538187637218</c:v>
                </c:pt>
                <c:pt idx="542">
                  <c:v>113.13113651441485</c:v>
                </c:pt>
                <c:pt idx="543">
                  <c:v>98.51182822380558</c:v>
                </c:pt>
                <c:pt idx="544">
                  <c:v>109.84296783109288</c:v>
                </c:pt>
                <c:pt idx="545">
                  <c:v>92.471873908809883</c:v>
                </c:pt>
                <c:pt idx="546">
                  <c:v>82.814557839557096</c:v>
                </c:pt>
                <c:pt idx="547">
                  <c:v>93.503994618088541</c:v>
                </c:pt>
                <c:pt idx="548">
                  <c:v>79.422902879990389</c:v>
                </c:pt>
                <c:pt idx="549">
                  <c:v>105.36521743833212</c:v>
                </c:pt>
                <c:pt idx="550">
                  <c:v>97.544769093414956</c:v>
                </c:pt>
                <c:pt idx="551">
                  <c:v>109.32911979570035</c:v>
                </c:pt>
                <c:pt idx="552">
                  <c:v>96.061018357741219</c:v>
                </c:pt>
                <c:pt idx="553">
                  <c:v>97.655826463568701</c:v>
                </c:pt>
                <c:pt idx="554">
                  <c:v>112.80196935889751</c:v>
                </c:pt>
                <c:pt idx="555">
                  <c:v>116.9699298577235</c:v>
                </c:pt>
                <c:pt idx="556">
                  <c:v>101.63830169040418</c:v>
                </c:pt>
                <c:pt idx="557">
                  <c:v>145.00461185555281</c:v>
                </c:pt>
                <c:pt idx="558">
                  <c:v>123.20374646315777</c:v>
                </c:pt>
                <c:pt idx="559">
                  <c:v>139.55618819189996</c:v>
                </c:pt>
                <c:pt idx="560">
                  <c:v>84.008431081201252</c:v>
                </c:pt>
                <c:pt idx="561">
                  <c:v>126.86691741104714</c:v>
                </c:pt>
                <c:pt idx="562">
                  <c:v>75.151421081742853</c:v>
                </c:pt>
                <c:pt idx="563">
                  <c:v>98.111592989470466</c:v>
                </c:pt>
                <c:pt idx="564">
                  <c:v>110.95169554989667</c:v>
                </c:pt>
                <c:pt idx="565">
                  <c:v>148.03372649024203</c:v>
                </c:pt>
                <c:pt idx="566">
                  <c:v>91.287382437532543</c:v>
                </c:pt>
                <c:pt idx="567">
                  <c:v>126.5529126547127</c:v>
                </c:pt>
                <c:pt idx="568">
                  <c:v>121.47841104875992</c:v>
                </c:pt>
                <c:pt idx="569">
                  <c:v>114.46067253722677</c:v>
                </c:pt>
                <c:pt idx="570">
                  <c:v>97.456213401541945</c:v>
                </c:pt>
                <c:pt idx="571">
                  <c:v>88.639852563710164</c:v>
                </c:pt>
                <c:pt idx="572">
                  <c:v>126.39558297541775</c:v>
                </c:pt>
                <c:pt idx="573">
                  <c:v>119.31690802460632</c:v>
                </c:pt>
                <c:pt idx="574">
                  <c:v>99.338499359092168</c:v>
                </c:pt>
                <c:pt idx="575">
                  <c:v>147.97856276409428</c:v>
                </c:pt>
                <c:pt idx="576">
                  <c:v>114.60881006154524</c:v>
                </c:pt>
                <c:pt idx="577">
                  <c:v>123.33635930117646</c:v>
                </c:pt>
                <c:pt idx="578">
                  <c:v>123.3266806218757</c:v>
                </c:pt>
                <c:pt idx="579">
                  <c:v>94.31560859441025</c:v>
                </c:pt>
                <c:pt idx="580">
                  <c:v>108.31995973980509</c:v>
                </c:pt>
                <c:pt idx="581">
                  <c:v>147.94670936810181</c:v>
                </c:pt>
                <c:pt idx="582">
                  <c:v>105.99294086812024</c:v>
                </c:pt>
                <c:pt idx="583">
                  <c:v>154.31371606647031</c:v>
                </c:pt>
                <c:pt idx="584">
                  <c:v>102.73193446897861</c:v>
                </c:pt>
                <c:pt idx="585">
                  <c:v>85.112998197216683</c:v>
                </c:pt>
                <c:pt idx="586">
                  <c:v>86.453637554514842</c:v>
                </c:pt>
                <c:pt idx="587">
                  <c:v>148.92079714278012</c:v>
                </c:pt>
                <c:pt idx="588">
                  <c:v>105.28193671206797</c:v>
                </c:pt>
                <c:pt idx="589">
                  <c:v>98.261654692413686</c:v>
                </c:pt>
                <c:pt idx="590">
                  <c:v>105.30730863755322</c:v>
                </c:pt>
                <c:pt idx="591">
                  <c:v>131.20420762777468</c:v>
                </c:pt>
                <c:pt idx="592">
                  <c:v>111.72604389345317</c:v>
                </c:pt>
                <c:pt idx="593">
                  <c:v>87.965908287263062</c:v>
                </c:pt>
                <c:pt idx="594">
                  <c:v>73.893445893117416</c:v>
                </c:pt>
                <c:pt idx="595">
                  <c:v>124.19197612347895</c:v>
                </c:pt>
                <c:pt idx="596">
                  <c:v>169.89782123958014</c:v>
                </c:pt>
                <c:pt idx="597">
                  <c:v>91.037272773925849</c:v>
                </c:pt>
                <c:pt idx="598">
                  <c:v>122.7745724354137</c:v>
                </c:pt>
                <c:pt idx="599">
                  <c:v>107.31486188235235</c:v>
                </c:pt>
                <c:pt idx="600">
                  <c:v>118.72384274519952</c:v>
                </c:pt>
                <c:pt idx="601">
                  <c:v>112.01112784633281</c:v>
                </c:pt>
                <c:pt idx="602">
                  <c:v>71.907159547477718</c:v>
                </c:pt>
                <c:pt idx="603">
                  <c:v>91.039914192459335</c:v>
                </c:pt>
                <c:pt idx="604">
                  <c:v>80.80837694324228</c:v>
                </c:pt>
                <c:pt idx="605">
                  <c:v>85.481686240027827</c:v>
                </c:pt>
                <c:pt idx="606">
                  <c:v>93.616297767813933</c:v>
                </c:pt>
                <c:pt idx="607">
                  <c:v>77.718618281178649</c:v>
                </c:pt>
                <c:pt idx="608">
                  <c:v>126.03724677587057</c:v>
                </c:pt>
                <c:pt idx="609">
                  <c:v>121.02664197214922</c:v>
                </c:pt>
                <c:pt idx="610">
                  <c:v>109.33189455530467</c:v>
                </c:pt>
                <c:pt idx="611">
                  <c:v>89.109334751551941</c:v>
                </c:pt>
                <c:pt idx="612">
                  <c:v>93.373275981415134</c:v>
                </c:pt>
                <c:pt idx="613">
                  <c:v>130.55935757220715</c:v>
                </c:pt>
                <c:pt idx="614">
                  <c:v>135.40416938400844</c:v>
                </c:pt>
                <c:pt idx="615">
                  <c:v>182.29698181884615</c:v>
                </c:pt>
                <c:pt idx="616">
                  <c:v>94.48185409642258</c:v>
                </c:pt>
                <c:pt idx="617">
                  <c:v>105.10810498590907</c:v>
                </c:pt>
                <c:pt idx="618">
                  <c:v>84.713622487093886</c:v>
                </c:pt>
                <c:pt idx="619">
                  <c:v>100.39248569254543</c:v>
                </c:pt>
                <c:pt idx="620">
                  <c:v>114.49026147140354</c:v>
                </c:pt>
                <c:pt idx="621">
                  <c:v>100.40477323834213</c:v>
                </c:pt>
                <c:pt idx="622">
                  <c:v>80.101628162921784</c:v>
                </c:pt>
                <c:pt idx="623">
                  <c:v>101.59429139921497</c:v>
                </c:pt>
                <c:pt idx="624">
                  <c:v>141.60207444988114</c:v>
                </c:pt>
                <c:pt idx="625">
                  <c:v>135.3517049945691</c:v>
                </c:pt>
                <c:pt idx="626">
                  <c:v>105.31977215455613</c:v>
                </c:pt>
                <c:pt idx="627">
                  <c:v>114.90374189598826</c:v>
                </c:pt>
                <c:pt idx="628">
                  <c:v>120.99275077108688</c:v>
                </c:pt>
                <c:pt idx="629">
                  <c:v>129.21351248661668</c:v>
                </c:pt>
                <c:pt idx="630">
                  <c:v>114.95848535413083</c:v>
                </c:pt>
                <c:pt idx="631">
                  <c:v>95.212195671946546</c:v>
                </c:pt>
                <c:pt idx="632">
                  <c:v>80.896971093120513</c:v>
                </c:pt>
                <c:pt idx="633">
                  <c:v>121.55431398656629</c:v>
                </c:pt>
                <c:pt idx="634">
                  <c:v>63.703788876457409</c:v>
                </c:pt>
                <c:pt idx="635">
                  <c:v>120.44045588592112</c:v>
                </c:pt>
                <c:pt idx="636">
                  <c:v>88.079132816168055</c:v>
                </c:pt>
                <c:pt idx="637">
                  <c:v>77.274116212693855</c:v>
                </c:pt>
                <c:pt idx="638">
                  <c:v>108.73593880279275</c:v>
                </c:pt>
                <c:pt idx="639">
                  <c:v>112.29687526161186</c:v>
                </c:pt>
                <c:pt idx="640">
                  <c:v>116.94908548723794</c:v>
                </c:pt>
                <c:pt idx="641">
                  <c:v>126.10503267301314</c:v>
                </c:pt>
                <c:pt idx="642">
                  <c:v>106.85290699512437</c:v>
                </c:pt>
                <c:pt idx="643">
                  <c:v>74.123172056749681</c:v>
                </c:pt>
                <c:pt idx="644">
                  <c:v>119.63888576237674</c:v>
                </c:pt>
                <c:pt idx="645">
                  <c:v>108.00848466274553</c:v>
                </c:pt>
                <c:pt idx="646">
                  <c:v>185.55152897850323</c:v>
                </c:pt>
                <c:pt idx="647">
                  <c:v>73.034253569700866</c:v>
                </c:pt>
                <c:pt idx="648">
                  <c:v>101.95640344290258</c:v>
                </c:pt>
                <c:pt idx="649">
                  <c:v>106.14722881440706</c:v>
                </c:pt>
                <c:pt idx="650">
                  <c:v>108.5487808287148</c:v>
                </c:pt>
                <c:pt idx="651">
                  <c:v>117.35822776469355</c:v>
                </c:pt>
                <c:pt idx="652">
                  <c:v>117.33998847925538</c:v>
                </c:pt>
                <c:pt idx="653">
                  <c:v>126.45954164007983</c:v>
                </c:pt>
                <c:pt idx="654">
                  <c:v>137.62411828433389</c:v>
                </c:pt>
                <c:pt idx="655">
                  <c:v>109.22799096272746</c:v>
                </c:pt>
                <c:pt idx="656">
                  <c:v>86.798414736419659</c:v>
                </c:pt>
                <c:pt idx="657">
                  <c:v>112.12081630779899</c:v>
                </c:pt>
                <c:pt idx="658">
                  <c:v>97.25569425914793</c:v>
                </c:pt>
                <c:pt idx="659">
                  <c:v>110.45295085592883</c:v>
                </c:pt>
                <c:pt idx="660">
                  <c:v>118.44221438182463</c:v>
                </c:pt>
                <c:pt idx="661">
                  <c:v>125.60614269326837</c:v>
                </c:pt>
                <c:pt idx="662">
                  <c:v>141.29053110356679</c:v>
                </c:pt>
                <c:pt idx="663">
                  <c:v>81.868197152275158</c:v>
                </c:pt>
                <c:pt idx="664">
                  <c:v>128.08712527557776</c:v>
                </c:pt>
                <c:pt idx="665">
                  <c:v>82.259004742003256</c:v>
                </c:pt>
                <c:pt idx="666">
                  <c:v>100.04351152342335</c:v>
                </c:pt>
                <c:pt idx="667">
                  <c:v>80.723374736630788</c:v>
                </c:pt>
                <c:pt idx="668">
                  <c:v>146.99487282017085</c:v>
                </c:pt>
                <c:pt idx="669">
                  <c:v>94.860134575960544</c:v>
                </c:pt>
                <c:pt idx="670">
                  <c:v>122.28255689668264</c:v>
                </c:pt>
                <c:pt idx="671">
                  <c:v>111.74229007096956</c:v>
                </c:pt>
                <c:pt idx="672">
                  <c:v>113.02600400405073</c:v>
                </c:pt>
                <c:pt idx="673">
                  <c:v>108.31703318897664</c:v>
                </c:pt>
                <c:pt idx="674">
                  <c:v>108.60249527693175</c:v>
                </c:pt>
                <c:pt idx="675">
                  <c:v>86.171563245434641</c:v>
                </c:pt>
                <c:pt idx="676">
                  <c:v>100.57811833668922</c:v>
                </c:pt>
                <c:pt idx="677">
                  <c:v>117.41117048889929</c:v>
                </c:pt>
                <c:pt idx="678">
                  <c:v>98.648556727776523</c:v>
                </c:pt>
                <c:pt idx="679">
                  <c:v>103.43750903176502</c:v>
                </c:pt>
                <c:pt idx="680">
                  <c:v>113.92419343582453</c:v>
                </c:pt>
                <c:pt idx="681">
                  <c:v>99.018943799307564</c:v>
                </c:pt>
                <c:pt idx="682">
                  <c:v>124.09729141366728</c:v>
                </c:pt>
                <c:pt idx="683">
                  <c:v>98.554354266988653</c:v>
                </c:pt>
                <c:pt idx="684">
                  <c:v>91.448752271755325</c:v>
                </c:pt>
                <c:pt idx="685">
                  <c:v>155.48340097289255</c:v>
                </c:pt>
                <c:pt idx="686">
                  <c:v>88.284638722335487</c:v>
                </c:pt>
                <c:pt idx="687">
                  <c:v>79.741435060137306</c:v>
                </c:pt>
                <c:pt idx="688">
                  <c:v>86.038449846795501</c:v>
                </c:pt>
                <c:pt idx="689">
                  <c:v>83.357772789756311</c:v>
                </c:pt>
                <c:pt idx="690">
                  <c:v>158.60719143246408</c:v>
                </c:pt>
                <c:pt idx="691">
                  <c:v>124.61345606783328</c:v>
                </c:pt>
                <c:pt idx="692">
                  <c:v>81.002890634103949</c:v>
                </c:pt>
                <c:pt idx="693">
                  <c:v>87.250047951113842</c:v>
                </c:pt>
                <c:pt idx="694">
                  <c:v>77.867677882726497</c:v>
                </c:pt>
                <c:pt idx="695">
                  <c:v>137.11078601706029</c:v>
                </c:pt>
                <c:pt idx="696">
                  <c:v>102.36580105341271</c:v>
                </c:pt>
                <c:pt idx="697">
                  <c:v>138.30483307426334</c:v>
                </c:pt>
                <c:pt idx="698">
                  <c:v>69.640956299391888</c:v>
                </c:pt>
                <c:pt idx="699">
                  <c:v>114.36233693214781</c:v>
                </c:pt>
                <c:pt idx="700">
                  <c:v>94.927732680377801</c:v>
                </c:pt>
                <c:pt idx="701">
                  <c:v>96.206245520384215</c:v>
                </c:pt>
                <c:pt idx="702">
                  <c:v>120.97727731152177</c:v>
                </c:pt>
                <c:pt idx="703">
                  <c:v>76.410526039981448</c:v>
                </c:pt>
                <c:pt idx="704">
                  <c:v>104.10182769566492</c:v>
                </c:pt>
                <c:pt idx="705">
                  <c:v>178.5418197373055</c:v>
                </c:pt>
                <c:pt idx="706">
                  <c:v>100.41708046259366</c:v>
                </c:pt>
                <c:pt idx="707">
                  <c:v>85.927395242150482</c:v>
                </c:pt>
                <c:pt idx="708">
                  <c:v>129.06628097239272</c:v>
                </c:pt>
                <c:pt idx="709">
                  <c:v>99.391771573094886</c:v>
                </c:pt>
                <c:pt idx="710">
                  <c:v>117.98905956420101</c:v>
                </c:pt>
                <c:pt idx="711">
                  <c:v>129.10362430417703</c:v>
                </c:pt>
                <c:pt idx="712">
                  <c:v>79.920940013887702</c:v>
                </c:pt>
                <c:pt idx="713">
                  <c:v>160.17096594130794</c:v>
                </c:pt>
                <c:pt idx="714">
                  <c:v>88.50997840049402</c:v>
                </c:pt>
                <c:pt idx="715">
                  <c:v>153.84495095583048</c:v>
                </c:pt>
                <c:pt idx="716">
                  <c:v>121.894539043319</c:v>
                </c:pt>
                <c:pt idx="717">
                  <c:v>111.30363218319934</c:v>
                </c:pt>
                <c:pt idx="718">
                  <c:v>113.86133314018419</c:v>
                </c:pt>
                <c:pt idx="719">
                  <c:v>92.969547593945805</c:v>
                </c:pt>
                <c:pt idx="720">
                  <c:v>93.315407862710373</c:v>
                </c:pt>
                <c:pt idx="721">
                  <c:v>128.33263755027485</c:v>
                </c:pt>
                <c:pt idx="722">
                  <c:v>86.793941353554033</c:v>
                </c:pt>
                <c:pt idx="723">
                  <c:v>102.17370659899058</c:v>
                </c:pt>
                <c:pt idx="724">
                  <c:v>115.890264580657</c:v>
                </c:pt>
                <c:pt idx="725">
                  <c:v>83.188211221265917</c:v>
                </c:pt>
                <c:pt idx="726">
                  <c:v>103.20599978033533</c:v>
                </c:pt>
                <c:pt idx="727">
                  <c:v>107.4488395393912</c:v>
                </c:pt>
                <c:pt idx="728">
                  <c:v>96.126251309048016</c:v>
                </c:pt>
                <c:pt idx="729">
                  <c:v>83.631352714191593</c:v>
                </c:pt>
                <c:pt idx="730">
                  <c:v>75.596255970236768</c:v>
                </c:pt>
                <c:pt idx="731">
                  <c:v>129.67558834599205</c:v>
                </c:pt>
                <c:pt idx="732">
                  <c:v>98.609821974655404</c:v>
                </c:pt>
                <c:pt idx="733">
                  <c:v>105.34109468356539</c:v>
                </c:pt>
                <c:pt idx="734">
                  <c:v>85.351738192588286</c:v>
                </c:pt>
                <c:pt idx="735">
                  <c:v>91.436812757084212</c:v>
                </c:pt>
                <c:pt idx="736">
                  <c:v>76.939578721131284</c:v>
                </c:pt>
                <c:pt idx="737">
                  <c:v>129.59147986976774</c:v>
                </c:pt>
                <c:pt idx="738">
                  <c:v>135.56138906306757</c:v>
                </c:pt>
                <c:pt idx="739">
                  <c:v>86.218244008306272</c:v>
                </c:pt>
                <c:pt idx="740">
                  <c:v>113.98620258414675</c:v>
                </c:pt>
                <c:pt idx="741">
                  <c:v>69.493215911843848</c:v>
                </c:pt>
                <c:pt idx="742">
                  <c:v>86.109905675616872</c:v>
                </c:pt>
                <c:pt idx="743">
                  <c:v>99.486389956105583</c:v>
                </c:pt>
                <c:pt idx="744">
                  <c:v>94.746190345149401</c:v>
                </c:pt>
                <c:pt idx="745">
                  <c:v>112.77078111989881</c:v>
                </c:pt>
                <c:pt idx="746">
                  <c:v>103.051003455334</c:v>
                </c:pt>
                <c:pt idx="747">
                  <c:v>102.58207064837138</c:v>
                </c:pt>
                <c:pt idx="748">
                  <c:v>99.049430225699609</c:v>
                </c:pt>
                <c:pt idx="749">
                  <c:v>99.951146968987814</c:v>
                </c:pt>
                <c:pt idx="750">
                  <c:v>91.809688902336177</c:v>
                </c:pt>
                <c:pt idx="751">
                  <c:v>99.422962384922897</c:v>
                </c:pt>
                <c:pt idx="752">
                  <c:v>91.840294111866314</c:v>
                </c:pt>
                <c:pt idx="753">
                  <c:v>73.585022274113243</c:v>
                </c:pt>
                <c:pt idx="754">
                  <c:v>91.635474793064603</c:v>
                </c:pt>
                <c:pt idx="755">
                  <c:v>108.86235682305959</c:v>
                </c:pt>
                <c:pt idx="756">
                  <c:v>84.877197975390672</c:v>
                </c:pt>
                <c:pt idx="757">
                  <c:v>99.422179082607514</c:v>
                </c:pt>
                <c:pt idx="758">
                  <c:v>83.012922270969483</c:v>
                </c:pt>
                <c:pt idx="759">
                  <c:v>83.393327670315813</c:v>
                </c:pt>
                <c:pt idx="760">
                  <c:v>111.68956226640242</c:v>
                </c:pt>
                <c:pt idx="761">
                  <c:v>137.94128901531957</c:v>
                </c:pt>
                <c:pt idx="762">
                  <c:v>116.79139374275368</c:v>
                </c:pt>
                <c:pt idx="763">
                  <c:v>84.269793416840315</c:v>
                </c:pt>
                <c:pt idx="764">
                  <c:v>164.47715716092364</c:v>
                </c:pt>
                <c:pt idx="765">
                  <c:v>94.728776192399692</c:v>
                </c:pt>
                <c:pt idx="766">
                  <c:v>100.08397452597724</c:v>
                </c:pt>
                <c:pt idx="767">
                  <c:v>124.11589934636029</c:v>
                </c:pt>
                <c:pt idx="768">
                  <c:v>120.43717308420742</c:v>
                </c:pt>
                <c:pt idx="769">
                  <c:v>93.563320740301975</c:v>
                </c:pt>
                <c:pt idx="770">
                  <c:v>118.26866920414206</c:v>
                </c:pt>
                <c:pt idx="771">
                  <c:v>81.797342204977852</c:v>
                </c:pt>
                <c:pt idx="772">
                  <c:v>86.925860586643594</c:v>
                </c:pt>
                <c:pt idx="773">
                  <c:v>87.4263298453657</c:v>
                </c:pt>
                <c:pt idx="774">
                  <c:v>107.08313292208494</c:v>
                </c:pt>
                <c:pt idx="775">
                  <c:v>103.34001738201243</c:v>
                </c:pt>
                <c:pt idx="776">
                  <c:v>87.178726713834862</c:v>
                </c:pt>
                <c:pt idx="777">
                  <c:v>92.510078646130552</c:v>
                </c:pt>
                <c:pt idx="778">
                  <c:v>73.827498914416239</c:v>
                </c:pt>
                <c:pt idx="779">
                  <c:v>112.49077242047112</c:v>
                </c:pt>
                <c:pt idx="780">
                  <c:v>116.28103798642483</c:v>
                </c:pt>
                <c:pt idx="781">
                  <c:v>94.216964326238781</c:v>
                </c:pt>
                <c:pt idx="782">
                  <c:v>89.621675384569471</c:v>
                </c:pt>
                <c:pt idx="783">
                  <c:v>122.95907166637218</c:v>
                </c:pt>
                <c:pt idx="784">
                  <c:v>89.480904531280217</c:v>
                </c:pt>
                <c:pt idx="785">
                  <c:v>65.900152838923987</c:v>
                </c:pt>
                <c:pt idx="786">
                  <c:v>64.864375413128769</c:v>
                </c:pt>
                <c:pt idx="787">
                  <c:v>126.72331489204991</c:v>
                </c:pt>
                <c:pt idx="788">
                  <c:v>98.948318489851886</c:v>
                </c:pt>
                <c:pt idx="789">
                  <c:v>124.4424247712475</c:v>
                </c:pt>
                <c:pt idx="790">
                  <c:v>113.37436982028233</c:v>
                </c:pt>
                <c:pt idx="791">
                  <c:v>98.567377268665709</c:v>
                </c:pt>
                <c:pt idx="792">
                  <c:v>111.72149161711199</c:v>
                </c:pt>
                <c:pt idx="793">
                  <c:v>106.80207371729966</c:v>
                </c:pt>
                <c:pt idx="794">
                  <c:v>139.15268627861792</c:v>
                </c:pt>
                <c:pt idx="795">
                  <c:v>128.30108538586691</c:v>
                </c:pt>
                <c:pt idx="796">
                  <c:v>134.69906059692306</c:v>
                </c:pt>
                <c:pt idx="797">
                  <c:v>103.92927487082993</c:v>
                </c:pt>
                <c:pt idx="798">
                  <c:v>103.38434803798367</c:v>
                </c:pt>
                <c:pt idx="799">
                  <c:v>97.405682749362825</c:v>
                </c:pt>
                <c:pt idx="800">
                  <c:v>98.048958797611121</c:v>
                </c:pt>
                <c:pt idx="801">
                  <c:v>91.415700024248963</c:v>
                </c:pt>
                <c:pt idx="802">
                  <c:v>113.32148156753976</c:v>
                </c:pt>
                <c:pt idx="803">
                  <c:v>113.02536980752998</c:v>
                </c:pt>
                <c:pt idx="804">
                  <c:v>86.91294468908697</c:v>
                </c:pt>
                <c:pt idx="805">
                  <c:v>98.9494311320191</c:v>
                </c:pt>
                <c:pt idx="806">
                  <c:v>136.61393963689122</c:v>
                </c:pt>
                <c:pt idx="807">
                  <c:v>157.74373211665267</c:v>
                </c:pt>
                <c:pt idx="808">
                  <c:v>87.004516030800986</c:v>
                </c:pt>
                <c:pt idx="809">
                  <c:v>105.23671488331158</c:v>
                </c:pt>
                <c:pt idx="810">
                  <c:v>85.468993160541402</c:v>
                </c:pt>
                <c:pt idx="811">
                  <c:v>108.66012783963002</c:v>
                </c:pt>
                <c:pt idx="812">
                  <c:v>86.158282400435297</c:v>
                </c:pt>
                <c:pt idx="813">
                  <c:v>102.12039122377736</c:v>
                </c:pt>
                <c:pt idx="814">
                  <c:v>104.50056315031158</c:v>
                </c:pt>
                <c:pt idx="815">
                  <c:v>80.917855261607613</c:v>
                </c:pt>
                <c:pt idx="816">
                  <c:v>84.215953682956439</c:v>
                </c:pt>
                <c:pt idx="817">
                  <c:v>90.004990708698998</c:v>
                </c:pt>
                <c:pt idx="818">
                  <c:v>81.339743404428773</c:v>
                </c:pt>
                <c:pt idx="819">
                  <c:v>128.55182416145118</c:v>
                </c:pt>
                <c:pt idx="820">
                  <c:v>117.71713307065323</c:v>
                </c:pt>
                <c:pt idx="821">
                  <c:v>145.06464534978443</c:v>
                </c:pt>
                <c:pt idx="822">
                  <c:v>78.342714201315275</c:v>
                </c:pt>
                <c:pt idx="823">
                  <c:v>95.934320884813175</c:v>
                </c:pt>
                <c:pt idx="824">
                  <c:v>149.0835769130762</c:v>
                </c:pt>
                <c:pt idx="825">
                  <c:v>77.853089262975487</c:v>
                </c:pt>
                <c:pt idx="826">
                  <c:v>81.271182778501583</c:v>
                </c:pt>
                <c:pt idx="827">
                  <c:v>151.0874062644935</c:v>
                </c:pt>
                <c:pt idx="828">
                  <c:v>124.93126167049446</c:v>
                </c:pt>
                <c:pt idx="829">
                  <c:v>89.42003675036284</c:v>
                </c:pt>
                <c:pt idx="830">
                  <c:v>87.269238121829147</c:v>
                </c:pt>
                <c:pt idx="831">
                  <c:v>118.07623995338801</c:v>
                </c:pt>
                <c:pt idx="832">
                  <c:v>120.28001681668961</c:v>
                </c:pt>
                <c:pt idx="833">
                  <c:v>79.34962377778821</c:v>
                </c:pt>
                <c:pt idx="834">
                  <c:v>98.862826506157404</c:v>
                </c:pt>
                <c:pt idx="835">
                  <c:v>107.05806766626182</c:v>
                </c:pt>
                <c:pt idx="836">
                  <c:v>78.074803522063746</c:v>
                </c:pt>
                <c:pt idx="837">
                  <c:v>99.464200414221025</c:v>
                </c:pt>
                <c:pt idx="838">
                  <c:v>120.13082100824663</c:v>
                </c:pt>
                <c:pt idx="839">
                  <c:v>94.593624640478936</c:v>
                </c:pt>
                <c:pt idx="840">
                  <c:v>108.32146394507059</c:v>
                </c:pt>
                <c:pt idx="841">
                  <c:v>118.60632408656838</c:v>
                </c:pt>
                <c:pt idx="842">
                  <c:v>91.275632389001643</c:v>
                </c:pt>
                <c:pt idx="843">
                  <c:v>93.993039950015628</c:v>
                </c:pt>
                <c:pt idx="844">
                  <c:v>93.952145884164636</c:v>
                </c:pt>
                <c:pt idx="845">
                  <c:v>87.998543324807969</c:v>
                </c:pt>
                <c:pt idx="846">
                  <c:v>132.7121884526039</c:v>
                </c:pt>
                <c:pt idx="847">
                  <c:v>102.75827044910152</c:v>
                </c:pt>
                <c:pt idx="848">
                  <c:v>95.592330292749253</c:v>
                </c:pt>
                <c:pt idx="849">
                  <c:v>134.06229449566936</c:v>
                </c:pt>
                <c:pt idx="850">
                  <c:v>87.054221535265697</c:v>
                </c:pt>
                <c:pt idx="851">
                  <c:v>91.549890688299485</c:v>
                </c:pt>
                <c:pt idx="852">
                  <c:v>80.001407806114941</c:v>
                </c:pt>
                <c:pt idx="853">
                  <c:v>88.565980573178848</c:v>
                </c:pt>
                <c:pt idx="854">
                  <c:v>102.33472493923001</c:v>
                </c:pt>
                <c:pt idx="855">
                  <c:v>81.265059353907077</c:v>
                </c:pt>
                <c:pt idx="856">
                  <c:v>106.16905477353126</c:v>
                </c:pt>
                <c:pt idx="857">
                  <c:v>93.593233225380729</c:v>
                </c:pt>
                <c:pt idx="858">
                  <c:v>97.859919087988104</c:v>
                </c:pt>
                <c:pt idx="859">
                  <c:v>106.13938086912505</c:v>
                </c:pt>
                <c:pt idx="860">
                  <c:v>135.4575383547334</c:v>
                </c:pt>
                <c:pt idx="861">
                  <c:v>119.19881469942037</c:v>
                </c:pt>
                <c:pt idx="862">
                  <c:v>110.34869670016822</c:v>
                </c:pt>
                <c:pt idx="863">
                  <c:v>113.40253382323233</c:v>
                </c:pt>
                <c:pt idx="864">
                  <c:v>99.63569105441762</c:v>
                </c:pt>
                <c:pt idx="865">
                  <c:v>97.582809764493774</c:v>
                </c:pt>
                <c:pt idx="866">
                  <c:v>103.39911496873917</c:v>
                </c:pt>
                <c:pt idx="867">
                  <c:v>103.69348153380004</c:v>
                </c:pt>
                <c:pt idx="868">
                  <c:v>86.222418393419446</c:v>
                </c:pt>
                <c:pt idx="869">
                  <c:v>97.122359025324855</c:v>
                </c:pt>
                <c:pt idx="870">
                  <c:v>121.0271286149767</c:v>
                </c:pt>
                <c:pt idx="871">
                  <c:v>133.54917235830612</c:v>
                </c:pt>
                <c:pt idx="872">
                  <c:v>76.100476705743404</c:v>
                </c:pt>
                <c:pt idx="873">
                  <c:v>129.12158943918311</c:v>
                </c:pt>
                <c:pt idx="874">
                  <c:v>124.84185058689171</c:v>
                </c:pt>
                <c:pt idx="875">
                  <c:v>104.61624761924554</c:v>
                </c:pt>
                <c:pt idx="876">
                  <c:v>96.55436465503459</c:v>
                </c:pt>
                <c:pt idx="877">
                  <c:v>70.958106906525757</c:v>
                </c:pt>
                <c:pt idx="878">
                  <c:v>103.17761581580531</c:v>
                </c:pt>
                <c:pt idx="879">
                  <c:v>68.581044983693374</c:v>
                </c:pt>
                <c:pt idx="880">
                  <c:v>97.817695287802181</c:v>
                </c:pt>
                <c:pt idx="881">
                  <c:v>91.10341310845368</c:v>
                </c:pt>
                <c:pt idx="882">
                  <c:v>78.797636555413334</c:v>
                </c:pt>
                <c:pt idx="883">
                  <c:v>110.64313580626617</c:v>
                </c:pt>
                <c:pt idx="884">
                  <c:v>106.58172885897602</c:v>
                </c:pt>
                <c:pt idx="885">
                  <c:v>136.07619234749555</c:v>
                </c:pt>
                <c:pt idx="886">
                  <c:v>110.93901050008978</c:v>
                </c:pt>
                <c:pt idx="887">
                  <c:v>88.060603841224236</c:v>
                </c:pt>
                <c:pt idx="888">
                  <c:v>113.49080140272912</c:v>
                </c:pt>
                <c:pt idx="889">
                  <c:v>67.631530518517152</c:v>
                </c:pt>
                <c:pt idx="890">
                  <c:v>117.64436152417423</c:v>
                </c:pt>
                <c:pt idx="891">
                  <c:v>130.76735088033502</c:v>
                </c:pt>
                <c:pt idx="892">
                  <c:v>93.718094342552519</c:v>
                </c:pt>
                <c:pt idx="893">
                  <c:v>136.29169419722658</c:v>
                </c:pt>
                <c:pt idx="894">
                  <c:v>99.261598783575693</c:v>
                </c:pt>
                <c:pt idx="895">
                  <c:v>152.56684838802548</c:v>
                </c:pt>
                <c:pt idx="896">
                  <c:v>78.814563629876176</c:v>
                </c:pt>
                <c:pt idx="897">
                  <c:v>124.44714631579589</c:v>
                </c:pt>
                <c:pt idx="898">
                  <c:v>117.47927635478641</c:v>
                </c:pt>
                <c:pt idx="899">
                  <c:v>107.12380554013906</c:v>
                </c:pt>
                <c:pt idx="900">
                  <c:v>114.25444048631901</c:v>
                </c:pt>
                <c:pt idx="901">
                  <c:v>100.92764117420157</c:v>
                </c:pt>
                <c:pt idx="902">
                  <c:v>129.00748535127326</c:v>
                </c:pt>
                <c:pt idx="903">
                  <c:v>88.602755347266253</c:v>
                </c:pt>
                <c:pt idx="904">
                  <c:v>77.47125212440335</c:v>
                </c:pt>
                <c:pt idx="905">
                  <c:v>118.97953366480142</c:v>
                </c:pt>
                <c:pt idx="906">
                  <c:v>119.8272909517181</c:v>
                </c:pt>
                <c:pt idx="907">
                  <c:v>143.50016045243672</c:v>
                </c:pt>
                <c:pt idx="908">
                  <c:v>110.41127665973471</c:v>
                </c:pt>
                <c:pt idx="909">
                  <c:v>79.715822588234516</c:v>
                </c:pt>
                <c:pt idx="910">
                  <c:v>79.712063801488725</c:v>
                </c:pt>
                <c:pt idx="911">
                  <c:v>86.022559207188024</c:v>
                </c:pt>
                <c:pt idx="912">
                  <c:v>87.586463782866815</c:v>
                </c:pt>
                <c:pt idx="913">
                  <c:v>91.002515810948253</c:v>
                </c:pt>
                <c:pt idx="914">
                  <c:v>117.56200694894557</c:v>
                </c:pt>
                <c:pt idx="915">
                  <c:v>129.77895316892045</c:v>
                </c:pt>
                <c:pt idx="916">
                  <c:v>108.55323636273754</c:v>
                </c:pt>
                <c:pt idx="917">
                  <c:v>104.49154946030973</c:v>
                </c:pt>
                <c:pt idx="918">
                  <c:v>127.40845792955335</c:v>
                </c:pt>
                <c:pt idx="919">
                  <c:v>110.95616871326231</c:v>
                </c:pt>
                <c:pt idx="920">
                  <c:v>86.787000586398577</c:v>
                </c:pt>
                <c:pt idx="921">
                  <c:v>86.148145928481512</c:v>
                </c:pt>
                <c:pt idx="922">
                  <c:v>105.0422644412357</c:v>
                </c:pt>
                <c:pt idx="923">
                  <c:v>74.046249585525459</c:v>
                </c:pt>
                <c:pt idx="924">
                  <c:v>141.87654100958963</c:v>
                </c:pt>
                <c:pt idx="925">
                  <c:v>72.827898597495079</c:v>
                </c:pt>
                <c:pt idx="926">
                  <c:v>87.362884233166326</c:v>
                </c:pt>
                <c:pt idx="927">
                  <c:v>90.47487191829407</c:v>
                </c:pt>
                <c:pt idx="928">
                  <c:v>92.134597026689093</c:v>
                </c:pt>
                <c:pt idx="929">
                  <c:v>132.0604894645644</c:v>
                </c:pt>
                <c:pt idx="930">
                  <c:v>100.38163071696229</c:v>
                </c:pt>
                <c:pt idx="931">
                  <c:v>142.52579568161619</c:v>
                </c:pt>
                <c:pt idx="932">
                  <c:v>73.558531726488056</c:v>
                </c:pt>
                <c:pt idx="933">
                  <c:v>88.045886040749281</c:v>
                </c:pt>
                <c:pt idx="934">
                  <c:v>99.638786172339223</c:v>
                </c:pt>
                <c:pt idx="935">
                  <c:v>106.39131225382712</c:v>
                </c:pt>
                <c:pt idx="936">
                  <c:v>92.631416128953305</c:v>
                </c:pt>
                <c:pt idx="937">
                  <c:v>76.37422770600358</c:v>
                </c:pt>
                <c:pt idx="938">
                  <c:v>95.90687300411787</c:v>
                </c:pt>
                <c:pt idx="939">
                  <c:v>110.82994530625419</c:v>
                </c:pt>
                <c:pt idx="940">
                  <c:v>113.82356176431979</c:v>
                </c:pt>
                <c:pt idx="941">
                  <c:v>110.82501491007508</c:v>
                </c:pt>
                <c:pt idx="942">
                  <c:v>146.10061024638395</c:v>
                </c:pt>
                <c:pt idx="943">
                  <c:v>96.429499813119364</c:v>
                </c:pt>
                <c:pt idx="944">
                  <c:v>108.62329683303369</c:v>
                </c:pt>
                <c:pt idx="945">
                  <c:v>99.590843345254868</c:v>
                </c:pt>
                <c:pt idx="946">
                  <c:v>117.82662059849213</c:v>
                </c:pt>
                <c:pt idx="947">
                  <c:v>100.62388005679621</c:v>
                </c:pt>
                <c:pt idx="948">
                  <c:v>89.924138140142915</c:v>
                </c:pt>
                <c:pt idx="949">
                  <c:v>126.60376288647862</c:v>
                </c:pt>
                <c:pt idx="950">
                  <c:v>90.136090196320907</c:v>
                </c:pt>
                <c:pt idx="951">
                  <c:v>74.288774494830022</c:v>
                </c:pt>
                <c:pt idx="952">
                  <c:v>90.794755151936613</c:v>
                </c:pt>
                <c:pt idx="953">
                  <c:v>106.47671573429079</c:v>
                </c:pt>
                <c:pt idx="954">
                  <c:v>119.43449717231219</c:v>
                </c:pt>
                <c:pt idx="955">
                  <c:v>167.28663040697359</c:v>
                </c:pt>
                <c:pt idx="956">
                  <c:v>70.200043674962544</c:v>
                </c:pt>
                <c:pt idx="957">
                  <c:v>93.269637861781746</c:v>
                </c:pt>
                <c:pt idx="958">
                  <c:v>105.18590802036537</c:v>
                </c:pt>
                <c:pt idx="959">
                  <c:v>78.573348706355745</c:v>
                </c:pt>
                <c:pt idx="960">
                  <c:v>136.48261281683162</c:v>
                </c:pt>
                <c:pt idx="961">
                  <c:v>72.512495178228377</c:v>
                </c:pt>
                <c:pt idx="962">
                  <c:v>68.501181280922239</c:v>
                </c:pt>
                <c:pt idx="963">
                  <c:v>118.65101991921621</c:v>
                </c:pt>
                <c:pt idx="964">
                  <c:v>99.013519635388832</c:v>
                </c:pt>
                <c:pt idx="965">
                  <c:v>123.9790233924594</c:v>
                </c:pt>
                <c:pt idx="966">
                  <c:v>104.33373844201705</c:v>
                </c:pt>
                <c:pt idx="967">
                  <c:v>70.446824800165103</c:v>
                </c:pt>
                <c:pt idx="968">
                  <c:v>108.13733075971749</c:v>
                </c:pt>
                <c:pt idx="969">
                  <c:v>161.60320871907786</c:v>
                </c:pt>
                <c:pt idx="970">
                  <c:v>92.530847851353485</c:v>
                </c:pt>
                <c:pt idx="971">
                  <c:v>184.18671680603725</c:v>
                </c:pt>
                <c:pt idx="972">
                  <c:v>101.32157446232938</c:v>
                </c:pt>
                <c:pt idx="973">
                  <c:v>118.85351222764812</c:v>
                </c:pt>
                <c:pt idx="974">
                  <c:v>121.92056318716904</c:v>
                </c:pt>
                <c:pt idx="975">
                  <c:v>88.471891882302188</c:v>
                </c:pt>
                <c:pt idx="976">
                  <c:v>107.99300393867293</c:v>
                </c:pt>
                <c:pt idx="977">
                  <c:v>109.24033945644595</c:v>
                </c:pt>
                <c:pt idx="978">
                  <c:v>92.002023554059363</c:v>
                </c:pt>
                <c:pt idx="979">
                  <c:v>76.616384766029356</c:v>
                </c:pt>
                <c:pt idx="980">
                  <c:v>84.407061942181585</c:v>
                </c:pt>
                <c:pt idx="981">
                  <c:v>124.0427785341757</c:v>
                </c:pt>
                <c:pt idx="982">
                  <c:v>117.61156350407225</c:v>
                </c:pt>
                <c:pt idx="983">
                  <c:v>118.74642675781799</c:v>
                </c:pt>
                <c:pt idx="984">
                  <c:v>90.027768313392471</c:v>
                </c:pt>
                <c:pt idx="985">
                  <c:v>88.69982957113227</c:v>
                </c:pt>
                <c:pt idx="986">
                  <c:v>86.865545028091546</c:v>
                </c:pt>
                <c:pt idx="987">
                  <c:v>115.38528607797839</c:v>
                </c:pt>
                <c:pt idx="988">
                  <c:v>86.357220157489522</c:v>
                </c:pt>
                <c:pt idx="989">
                  <c:v>124.50234584772271</c:v>
                </c:pt>
                <c:pt idx="990">
                  <c:v>83.802782799292075</c:v>
                </c:pt>
                <c:pt idx="991">
                  <c:v>112.82384577077043</c:v>
                </c:pt>
                <c:pt idx="992">
                  <c:v>104.06854274068235</c:v>
                </c:pt>
                <c:pt idx="993">
                  <c:v>107.83743804357498</c:v>
                </c:pt>
                <c:pt idx="994">
                  <c:v>145.95749767552292</c:v>
                </c:pt>
                <c:pt idx="995">
                  <c:v>113.18638093792119</c:v>
                </c:pt>
                <c:pt idx="996">
                  <c:v>105.85924530694859</c:v>
                </c:pt>
                <c:pt idx="997">
                  <c:v>158.02757095723939</c:v>
                </c:pt>
                <c:pt idx="998">
                  <c:v>85.499214316162139</c:v>
                </c:pt>
                <c:pt idx="999">
                  <c:v>141.17328959426689</c:v>
                </c:pt>
              </c:numCache>
            </c:numRef>
          </c:xVal>
          <c:yVal>
            <c:numRef>
              <c:f>Sheet1!$S$2:$S$1001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0.7147613220243727</c:v>
                </c:pt>
                <c:pt idx="3">
                  <c:v>33.512850249430059</c:v>
                </c:pt>
                <c:pt idx="4">
                  <c:v>0</c:v>
                </c:pt>
                <c:pt idx="5">
                  <c:v>7.7977070247185623</c:v>
                </c:pt>
                <c:pt idx="6">
                  <c:v>7.3402726175133353</c:v>
                </c:pt>
                <c:pt idx="7">
                  <c:v>0</c:v>
                </c:pt>
                <c:pt idx="8">
                  <c:v>0</c:v>
                </c:pt>
                <c:pt idx="9">
                  <c:v>39.382264408541303</c:v>
                </c:pt>
                <c:pt idx="10">
                  <c:v>0</c:v>
                </c:pt>
                <c:pt idx="11">
                  <c:v>48.876906131232843</c:v>
                </c:pt>
                <c:pt idx="12">
                  <c:v>0</c:v>
                </c:pt>
                <c:pt idx="13">
                  <c:v>0</c:v>
                </c:pt>
                <c:pt idx="14">
                  <c:v>1.7768258508760226</c:v>
                </c:pt>
                <c:pt idx="15">
                  <c:v>3.6112109765952169</c:v>
                </c:pt>
                <c:pt idx="16">
                  <c:v>0</c:v>
                </c:pt>
                <c:pt idx="17">
                  <c:v>0.38022834228917191</c:v>
                </c:pt>
                <c:pt idx="18">
                  <c:v>0</c:v>
                </c:pt>
                <c:pt idx="19">
                  <c:v>10.44592477055707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47.451324451550434</c:v>
                </c:pt>
                <c:pt idx="24">
                  <c:v>7.2091997143722466</c:v>
                </c:pt>
                <c:pt idx="25">
                  <c:v>9.8274224719888394</c:v>
                </c:pt>
                <c:pt idx="26">
                  <c:v>20.584041471693709</c:v>
                </c:pt>
                <c:pt idx="27">
                  <c:v>0</c:v>
                </c:pt>
                <c:pt idx="28">
                  <c:v>2.2897688030002996</c:v>
                </c:pt>
                <c:pt idx="29">
                  <c:v>0</c:v>
                </c:pt>
                <c:pt idx="30">
                  <c:v>21.988880767567792</c:v>
                </c:pt>
                <c:pt idx="31">
                  <c:v>0</c:v>
                </c:pt>
                <c:pt idx="32">
                  <c:v>48.437070114257139</c:v>
                </c:pt>
                <c:pt idx="33">
                  <c:v>0</c:v>
                </c:pt>
                <c:pt idx="34">
                  <c:v>6.2856048900777921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9.4336447562876629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38.014808307695446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1.9709816417395984</c:v>
                </c:pt>
                <c:pt idx="52">
                  <c:v>8.8152446398842841</c:v>
                </c:pt>
                <c:pt idx="53">
                  <c:v>31.461735019798354</c:v>
                </c:pt>
                <c:pt idx="54">
                  <c:v>33.74965003746523</c:v>
                </c:pt>
                <c:pt idx="55">
                  <c:v>0</c:v>
                </c:pt>
                <c:pt idx="56">
                  <c:v>21.634641918904435</c:v>
                </c:pt>
                <c:pt idx="57">
                  <c:v>24.216136299986417</c:v>
                </c:pt>
                <c:pt idx="58">
                  <c:v>5.6337239170741924</c:v>
                </c:pt>
                <c:pt idx="59">
                  <c:v>20.526972589435729</c:v>
                </c:pt>
                <c:pt idx="60">
                  <c:v>21.43196981051419</c:v>
                </c:pt>
                <c:pt idx="61">
                  <c:v>28.317982632965837</c:v>
                </c:pt>
                <c:pt idx="62">
                  <c:v>0</c:v>
                </c:pt>
                <c:pt idx="63">
                  <c:v>0</c:v>
                </c:pt>
                <c:pt idx="64">
                  <c:v>7.4000050506312363</c:v>
                </c:pt>
                <c:pt idx="65">
                  <c:v>52.452204957261543</c:v>
                </c:pt>
                <c:pt idx="66">
                  <c:v>15.987309258854452</c:v>
                </c:pt>
                <c:pt idx="67">
                  <c:v>0</c:v>
                </c:pt>
                <c:pt idx="68">
                  <c:v>0</c:v>
                </c:pt>
                <c:pt idx="69">
                  <c:v>9.9397708027282476</c:v>
                </c:pt>
                <c:pt idx="70">
                  <c:v>6.0054658675990424</c:v>
                </c:pt>
                <c:pt idx="71">
                  <c:v>44.066448787689396</c:v>
                </c:pt>
                <c:pt idx="72">
                  <c:v>0</c:v>
                </c:pt>
                <c:pt idx="73">
                  <c:v>0</c:v>
                </c:pt>
                <c:pt idx="74">
                  <c:v>22.58950435304105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4.7441210876433928</c:v>
                </c:pt>
                <c:pt idx="80">
                  <c:v>0</c:v>
                </c:pt>
                <c:pt idx="81">
                  <c:v>3.7933833407654731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7.4736183966014806</c:v>
                </c:pt>
                <c:pt idx="87">
                  <c:v>36.824889007260438</c:v>
                </c:pt>
                <c:pt idx="88">
                  <c:v>23.707529674921176</c:v>
                </c:pt>
                <c:pt idx="89">
                  <c:v>19.368300433755195</c:v>
                </c:pt>
                <c:pt idx="90">
                  <c:v>0</c:v>
                </c:pt>
                <c:pt idx="91">
                  <c:v>0</c:v>
                </c:pt>
                <c:pt idx="92">
                  <c:v>2.6967980942010428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1.7927663976282133</c:v>
                </c:pt>
                <c:pt idx="97">
                  <c:v>5.677012719035659</c:v>
                </c:pt>
                <c:pt idx="98">
                  <c:v>0</c:v>
                </c:pt>
                <c:pt idx="99">
                  <c:v>14.294397123654164</c:v>
                </c:pt>
                <c:pt idx="100">
                  <c:v>10.185509049745747</c:v>
                </c:pt>
                <c:pt idx="101">
                  <c:v>0.21549008313171214</c:v>
                </c:pt>
                <c:pt idx="102">
                  <c:v>0</c:v>
                </c:pt>
                <c:pt idx="103">
                  <c:v>0.12905048016899912</c:v>
                </c:pt>
                <c:pt idx="104">
                  <c:v>7.3100295788822223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28.445184333653927</c:v>
                </c:pt>
                <c:pt idx="109">
                  <c:v>53.357697650472929</c:v>
                </c:pt>
                <c:pt idx="110">
                  <c:v>0</c:v>
                </c:pt>
                <c:pt idx="111">
                  <c:v>51.447186783414921</c:v>
                </c:pt>
                <c:pt idx="112">
                  <c:v>0</c:v>
                </c:pt>
                <c:pt idx="113">
                  <c:v>0</c:v>
                </c:pt>
                <c:pt idx="114">
                  <c:v>6.1279104734538521</c:v>
                </c:pt>
                <c:pt idx="115">
                  <c:v>33.5432867285556</c:v>
                </c:pt>
                <c:pt idx="116">
                  <c:v>11.963143612564267</c:v>
                </c:pt>
                <c:pt idx="117">
                  <c:v>26.059530535720768</c:v>
                </c:pt>
                <c:pt idx="118">
                  <c:v>0</c:v>
                </c:pt>
                <c:pt idx="119">
                  <c:v>0</c:v>
                </c:pt>
                <c:pt idx="120">
                  <c:v>16.671314385467852</c:v>
                </c:pt>
                <c:pt idx="121">
                  <c:v>2.9187838306656317</c:v>
                </c:pt>
                <c:pt idx="122">
                  <c:v>7.502266497483312E-7</c:v>
                </c:pt>
                <c:pt idx="123">
                  <c:v>11.671185325028659</c:v>
                </c:pt>
                <c:pt idx="124">
                  <c:v>0</c:v>
                </c:pt>
                <c:pt idx="125">
                  <c:v>27.255485773165589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15.684205631656866</c:v>
                </c:pt>
                <c:pt idx="130">
                  <c:v>27.333010607997338</c:v>
                </c:pt>
                <c:pt idx="131">
                  <c:v>6.4240491606444863</c:v>
                </c:pt>
                <c:pt idx="132">
                  <c:v>52.332312609354787</c:v>
                </c:pt>
                <c:pt idx="133">
                  <c:v>2.6320190189757966</c:v>
                </c:pt>
                <c:pt idx="134">
                  <c:v>30.063069368356977</c:v>
                </c:pt>
                <c:pt idx="135">
                  <c:v>0</c:v>
                </c:pt>
                <c:pt idx="136">
                  <c:v>26.475935903940979</c:v>
                </c:pt>
                <c:pt idx="137">
                  <c:v>30.203378455629277</c:v>
                </c:pt>
                <c:pt idx="138">
                  <c:v>53.221844222063837</c:v>
                </c:pt>
                <c:pt idx="139">
                  <c:v>0</c:v>
                </c:pt>
                <c:pt idx="140">
                  <c:v>0</c:v>
                </c:pt>
                <c:pt idx="141">
                  <c:v>3.1302453565654247</c:v>
                </c:pt>
                <c:pt idx="142">
                  <c:v>0</c:v>
                </c:pt>
                <c:pt idx="143">
                  <c:v>17.23580384833646</c:v>
                </c:pt>
                <c:pt idx="144">
                  <c:v>45.251888428171284</c:v>
                </c:pt>
                <c:pt idx="145">
                  <c:v>0</c:v>
                </c:pt>
                <c:pt idx="146">
                  <c:v>49.719955487201091</c:v>
                </c:pt>
                <c:pt idx="147">
                  <c:v>0</c:v>
                </c:pt>
                <c:pt idx="148">
                  <c:v>29.003972700154478</c:v>
                </c:pt>
                <c:pt idx="149">
                  <c:v>10.963640401014032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26.437101433906207</c:v>
                </c:pt>
                <c:pt idx="155">
                  <c:v>23.547637353885591</c:v>
                </c:pt>
                <c:pt idx="156">
                  <c:v>81.75275364099538</c:v>
                </c:pt>
                <c:pt idx="157">
                  <c:v>10.897810481930421</c:v>
                </c:pt>
                <c:pt idx="158">
                  <c:v>14.406216726840142</c:v>
                </c:pt>
                <c:pt idx="159">
                  <c:v>45.536906360314632</c:v>
                </c:pt>
                <c:pt idx="160">
                  <c:v>0</c:v>
                </c:pt>
                <c:pt idx="161">
                  <c:v>44.657922993585501</c:v>
                </c:pt>
                <c:pt idx="162">
                  <c:v>0</c:v>
                </c:pt>
                <c:pt idx="163">
                  <c:v>25.560946341043106</c:v>
                </c:pt>
                <c:pt idx="164">
                  <c:v>15.493583480754126</c:v>
                </c:pt>
                <c:pt idx="165">
                  <c:v>2.9821921389116568</c:v>
                </c:pt>
                <c:pt idx="166">
                  <c:v>14.159597922992106</c:v>
                </c:pt>
                <c:pt idx="167">
                  <c:v>0</c:v>
                </c:pt>
                <c:pt idx="168">
                  <c:v>0</c:v>
                </c:pt>
                <c:pt idx="169">
                  <c:v>5.3369087756471743</c:v>
                </c:pt>
                <c:pt idx="170">
                  <c:v>10.83103308544824</c:v>
                </c:pt>
                <c:pt idx="171">
                  <c:v>5.0152927097358315</c:v>
                </c:pt>
                <c:pt idx="172">
                  <c:v>11.495444978395824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26.619019320925645</c:v>
                </c:pt>
                <c:pt idx="179">
                  <c:v>0</c:v>
                </c:pt>
                <c:pt idx="180">
                  <c:v>16.396055044901885</c:v>
                </c:pt>
                <c:pt idx="181">
                  <c:v>13.580850344273742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30.583236718168351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39.79381690158435</c:v>
                </c:pt>
                <c:pt idx="192">
                  <c:v>19.926919870853865</c:v>
                </c:pt>
                <c:pt idx="193">
                  <c:v>24.274440095801836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25.95852206628021</c:v>
                </c:pt>
                <c:pt idx="201">
                  <c:v>0</c:v>
                </c:pt>
                <c:pt idx="202">
                  <c:v>42.878287142728922</c:v>
                </c:pt>
                <c:pt idx="203">
                  <c:v>0.62090878275846251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11.507059798545953</c:v>
                </c:pt>
                <c:pt idx="208">
                  <c:v>17.400380791007308</c:v>
                </c:pt>
                <c:pt idx="209">
                  <c:v>14.934592170559355</c:v>
                </c:pt>
                <c:pt idx="210">
                  <c:v>3.7999899392168999</c:v>
                </c:pt>
                <c:pt idx="211">
                  <c:v>0</c:v>
                </c:pt>
                <c:pt idx="212">
                  <c:v>14.914192437431197</c:v>
                </c:pt>
                <c:pt idx="213">
                  <c:v>14.516464372617079</c:v>
                </c:pt>
                <c:pt idx="214">
                  <c:v>15.881132832080596</c:v>
                </c:pt>
                <c:pt idx="215">
                  <c:v>0</c:v>
                </c:pt>
                <c:pt idx="216">
                  <c:v>19.108554858863599</c:v>
                </c:pt>
                <c:pt idx="217">
                  <c:v>44.055917731006716</c:v>
                </c:pt>
                <c:pt idx="218">
                  <c:v>0</c:v>
                </c:pt>
                <c:pt idx="219">
                  <c:v>0</c:v>
                </c:pt>
                <c:pt idx="220">
                  <c:v>8.4796644871085363</c:v>
                </c:pt>
                <c:pt idx="221">
                  <c:v>7.212183025953351</c:v>
                </c:pt>
                <c:pt idx="222">
                  <c:v>1.7877150342546599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17.476984305368973</c:v>
                </c:pt>
                <c:pt idx="229">
                  <c:v>2.7791702915849754</c:v>
                </c:pt>
                <c:pt idx="230">
                  <c:v>20.736021498609318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49.872935474844454</c:v>
                </c:pt>
                <c:pt idx="236">
                  <c:v>0</c:v>
                </c:pt>
                <c:pt idx="237">
                  <c:v>3.938786431885319</c:v>
                </c:pt>
                <c:pt idx="238">
                  <c:v>0</c:v>
                </c:pt>
                <c:pt idx="239">
                  <c:v>24.128917554989954</c:v>
                </c:pt>
                <c:pt idx="240">
                  <c:v>15.283098726949348</c:v>
                </c:pt>
                <c:pt idx="241">
                  <c:v>9.9421818925346059</c:v>
                </c:pt>
                <c:pt idx="242">
                  <c:v>0</c:v>
                </c:pt>
                <c:pt idx="243">
                  <c:v>19.769087665655732</c:v>
                </c:pt>
                <c:pt idx="244">
                  <c:v>13.35762047322342</c:v>
                </c:pt>
                <c:pt idx="245">
                  <c:v>42.847406582756477</c:v>
                </c:pt>
                <c:pt idx="246">
                  <c:v>12.240664983225145</c:v>
                </c:pt>
                <c:pt idx="247">
                  <c:v>29.903010273529432</c:v>
                </c:pt>
                <c:pt idx="248">
                  <c:v>25.760194677855083</c:v>
                </c:pt>
                <c:pt idx="249">
                  <c:v>39.882803035079732</c:v>
                </c:pt>
                <c:pt idx="250">
                  <c:v>12.338386819493195</c:v>
                </c:pt>
                <c:pt idx="251">
                  <c:v>0</c:v>
                </c:pt>
                <c:pt idx="252">
                  <c:v>0</c:v>
                </c:pt>
                <c:pt idx="253">
                  <c:v>15.221987394638845</c:v>
                </c:pt>
                <c:pt idx="254">
                  <c:v>48.553694164270226</c:v>
                </c:pt>
                <c:pt idx="255">
                  <c:v>0</c:v>
                </c:pt>
                <c:pt idx="256">
                  <c:v>16.259247117953166</c:v>
                </c:pt>
                <c:pt idx="257">
                  <c:v>0</c:v>
                </c:pt>
                <c:pt idx="258">
                  <c:v>25.338358273933181</c:v>
                </c:pt>
                <c:pt idx="259">
                  <c:v>0</c:v>
                </c:pt>
                <c:pt idx="260">
                  <c:v>31.554396446766688</c:v>
                </c:pt>
                <c:pt idx="261">
                  <c:v>31.153224421853125</c:v>
                </c:pt>
                <c:pt idx="262">
                  <c:v>0</c:v>
                </c:pt>
                <c:pt idx="263">
                  <c:v>22.965131723181798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20.533487261354253</c:v>
                </c:pt>
                <c:pt idx="270">
                  <c:v>0.84682486622800468</c:v>
                </c:pt>
                <c:pt idx="271">
                  <c:v>13.987519655687706</c:v>
                </c:pt>
                <c:pt idx="272">
                  <c:v>4.1954654825693041</c:v>
                </c:pt>
                <c:pt idx="273">
                  <c:v>0</c:v>
                </c:pt>
                <c:pt idx="274">
                  <c:v>0</c:v>
                </c:pt>
                <c:pt idx="275">
                  <c:v>25.077600318342689</c:v>
                </c:pt>
                <c:pt idx="276">
                  <c:v>26.653099169493203</c:v>
                </c:pt>
                <c:pt idx="277">
                  <c:v>0</c:v>
                </c:pt>
                <c:pt idx="278">
                  <c:v>0</c:v>
                </c:pt>
                <c:pt idx="279">
                  <c:v>20.940577862654692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7.5220583928335145</c:v>
                </c:pt>
                <c:pt idx="287">
                  <c:v>17.924184717515288</c:v>
                </c:pt>
                <c:pt idx="288">
                  <c:v>0</c:v>
                </c:pt>
                <c:pt idx="289">
                  <c:v>0</c:v>
                </c:pt>
                <c:pt idx="290">
                  <c:v>32.481996375850215</c:v>
                </c:pt>
                <c:pt idx="291">
                  <c:v>0</c:v>
                </c:pt>
                <c:pt idx="292">
                  <c:v>10.187020685119577</c:v>
                </c:pt>
                <c:pt idx="293">
                  <c:v>20.612849498188382</c:v>
                </c:pt>
                <c:pt idx="294">
                  <c:v>29.843028862795521</c:v>
                </c:pt>
                <c:pt idx="295">
                  <c:v>15.647907514528328</c:v>
                </c:pt>
                <c:pt idx="296">
                  <c:v>12.2639389727061</c:v>
                </c:pt>
                <c:pt idx="297">
                  <c:v>0</c:v>
                </c:pt>
                <c:pt idx="298">
                  <c:v>0</c:v>
                </c:pt>
                <c:pt idx="299">
                  <c:v>46.217497821187138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97.992058851547014</c:v>
                </c:pt>
                <c:pt idx="305">
                  <c:v>25.333656292530591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0.74706197703063992</c:v>
                </c:pt>
                <c:pt idx="310">
                  <c:v>1.7952709220828922</c:v>
                </c:pt>
                <c:pt idx="311">
                  <c:v>0</c:v>
                </c:pt>
                <c:pt idx="312">
                  <c:v>0</c:v>
                </c:pt>
                <c:pt idx="313">
                  <c:v>26.782308699918588</c:v>
                </c:pt>
                <c:pt idx="314">
                  <c:v>13.783955820414135</c:v>
                </c:pt>
                <c:pt idx="315">
                  <c:v>12.93629461815965</c:v>
                </c:pt>
                <c:pt idx="316">
                  <c:v>5.8343242082019771</c:v>
                </c:pt>
                <c:pt idx="317">
                  <c:v>11.762819309427854</c:v>
                </c:pt>
                <c:pt idx="318">
                  <c:v>5.778335435071881</c:v>
                </c:pt>
                <c:pt idx="319">
                  <c:v>0</c:v>
                </c:pt>
                <c:pt idx="320">
                  <c:v>2.6483719145223574</c:v>
                </c:pt>
                <c:pt idx="321">
                  <c:v>0</c:v>
                </c:pt>
                <c:pt idx="322">
                  <c:v>22.054902505755493</c:v>
                </c:pt>
                <c:pt idx="323">
                  <c:v>6.9436274519566155</c:v>
                </c:pt>
                <c:pt idx="324">
                  <c:v>0</c:v>
                </c:pt>
                <c:pt idx="325">
                  <c:v>6.6555339046537227</c:v>
                </c:pt>
                <c:pt idx="326">
                  <c:v>18.133397124474712</c:v>
                </c:pt>
                <c:pt idx="327">
                  <c:v>11.472235725470696</c:v>
                </c:pt>
                <c:pt idx="328">
                  <c:v>0</c:v>
                </c:pt>
                <c:pt idx="329">
                  <c:v>29.199414341483319</c:v>
                </c:pt>
                <c:pt idx="330">
                  <c:v>0.14255095089021097</c:v>
                </c:pt>
                <c:pt idx="331">
                  <c:v>1.7344771460913364</c:v>
                </c:pt>
                <c:pt idx="332">
                  <c:v>0</c:v>
                </c:pt>
                <c:pt idx="333">
                  <c:v>0</c:v>
                </c:pt>
                <c:pt idx="334">
                  <c:v>8.9721420418329529</c:v>
                </c:pt>
                <c:pt idx="335">
                  <c:v>13.238576559387198</c:v>
                </c:pt>
                <c:pt idx="336">
                  <c:v>31.840849039459911</c:v>
                </c:pt>
                <c:pt idx="337">
                  <c:v>0</c:v>
                </c:pt>
                <c:pt idx="338">
                  <c:v>27.02093192014901</c:v>
                </c:pt>
                <c:pt idx="339">
                  <c:v>0</c:v>
                </c:pt>
                <c:pt idx="340">
                  <c:v>11.883410181728934</c:v>
                </c:pt>
                <c:pt idx="341">
                  <c:v>27.872936662051529</c:v>
                </c:pt>
                <c:pt idx="342">
                  <c:v>30.488616088207394</c:v>
                </c:pt>
                <c:pt idx="343">
                  <c:v>20.276717813057573</c:v>
                </c:pt>
                <c:pt idx="344">
                  <c:v>8.1329792049150313</c:v>
                </c:pt>
                <c:pt idx="345">
                  <c:v>15.214893113334725</c:v>
                </c:pt>
                <c:pt idx="346">
                  <c:v>26.25507014162288</c:v>
                </c:pt>
                <c:pt idx="347">
                  <c:v>8.3778884874918162</c:v>
                </c:pt>
                <c:pt idx="348">
                  <c:v>10.333799157807618</c:v>
                </c:pt>
                <c:pt idx="349">
                  <c:v>0</c:v>
                </c:pt>
                <c:pt idx="350">
                  <c:v>0</c:v>
                </c:pt>
                <c:pt idx="351">
                  <c:v>16.78974250599056</c:v>
                </c:pt>
                <c:pt idx="352">
                  <c:v>0</c:v>
                </c:pt>
                <c:pt idx="353">
                  <c:v>9.8134029694802009E-229</c:v>
                </c:pt>
                <c:pt idx="354">
                  <c:v>16.619045118869622</c:v>
                </c:pt>
                <c:pt idx="355">
                  <c:v>9.1830809691732327</c:v>
                </c:pt>
                <c:pt idx="356">
                  <c:v>0</c:v>
                </c:pt>
                <c:pt idx="357">
                  <c:v>28.414464149038096</c:v>
                </c:pt>
                <c:pt idx="358">
                  <c:v>0</c:v>
                </c:pt>
                <c:pt idx="359">
                  <c:v>1.9373489786440388</c:v>
                </c:pt>
                <c:pt idx="360">
                  <c:v>0</c:v>
                </c:pt>
                <c:pt idx="361">
                  <c:v>1.3373185796461884E-10</c:v>
                </c:pt>
                <c:pt idx="362">
                  <c:v>0</c:v>
                </c:pt>
                <c:pt idx="363">
                  <c:v>51.509217937063099</c:v>
                </c:pt>
                <c:pt idx="364">
                  <c:v>0</c:v>
                </c:pt>
                <c:pt idx="365">
                  <c:v>26.784402765797267</c:v>
                </c:pt>
                <c:pt idx="366">
                  <c:v>0</c:v>
                </c:pt>
                <c:pt idx="367">
                  <c:v>0</c:v>
                </c:pt>
                <c:pt idx="368">
                  <c:v>2.1876582518671341</c:v>
                </c:pt>
                <c:pt idx="369">
                  <c:v>0</c:v>
                </c:pt>
                <c:pt idx="370">
                  <c:v>0</c:v>
                </c:pt>
                <c:pt idx="371">
                  <c:v>4.5511514279175174</c:v>
                </c:pt>
                <c:pt idx="372">
                  <c:v>21.449085834845405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15.387003245770245</c:v>
                </c:pt>
                <c:pt idx="380">
                  <c:v>23.957414194095705</c:v>
                </c:pt>
                <c:pt idx="381">
                  <c:v>13.825330232912719</c:v>
                </c:pt>
                <c:pt idx="382">
                  <c:v>29.424034470560841</c:v>
                </c:pt>
                <c:pt idx="383">
                  <c:v>0</c:v>
                </c:pt>
                <c:pt idx="384">
                  <c:v>0</c:v>
                </c:pt>
                <c:pt idx="385">
                  <c:v>0.43442351184965844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29.034844731706372</c:v>
                </c:pt>
                <c:pt idx="390">
                  <c:v>19.034275112904794</c:v>
                </c:pt>
                <c:pt idx="391">
                  <c:v>46.023458529556549</c:v>
                </c:pt>
                <c:pt idx="392">
                  <c:v>6.3876104447640216</c:v>
                </c:pt>
                <c:pt idx="393">
                  <c:v>0</c:v>
                </c:pt>
                <c:pt idx="394">
                  <c:v>36.174455342364624</c:v>
                </c:pt>
                <c:pt idx="395">
                  <c:v>58.954417159288951</c:v>
                </c:pt>
                <c:pt idx="396">
                  <c:v>0</c:v>
                </c:pt>
                <c:pt idx="397">
                  <c:v>19.526542375060259</c:v>
                </c:pt>
                <c:pt idx="398">
                  <c:v>87.416972037433723</c:v>
                </c:pt>
                <c:pt idx="399">
                  <c:v>14.816236789930869</c:v>
                </c:pt>
                <c:pt idx="400">
                  <c:v>0</c:v>
                </c:pt>
                <c:pt idx="401">
                  <c:v>20.278924433832785</c:v>
                </c:pt>
                <c:pt idx="402">
                  <c:v>4.0932817504450156</c:v>
                </c:pt>
                <c:pt idx="403">
                  <c:v>37.149387420066731</c:v>
                </c:pt>
                <c:pt idx="404">
                  <c:v>3.8753073939877112</c:v>
                </c:pt>
                <c:pt idx="405">
                  <c:v>21.007101839594029</c:v>
                </c:pt>
                <c:pt idx="406">
                  <c:v>0</c:v>
                </c:pt>
                <c:pt idx="407">
                  <c:v>0</c:v>
                </c:pt>
                <c:pt idx="408">
                  <c:v>10.470028049871971</c:v>
                </c:pt>
                <c:pt idx="409">
                  <c:v>5.8228477405714799E-9</c:v>
                </c:pt>
                <c:pt idx="410">
                  <c:v>0</c:v>
                </c:pt>
                <c:pt idx="411">
                  <c:v>4.3634038554976229</c:v>
                </c:pt>
                <c:pt idx="412">
                  <c:v>16.570233411068614</c:v>
                </c:pt>
                <c:pt idx="413">
                  <c:v>0</c:v>
                </c:pt>
                <c:pt idx="414">
                  <c:v>22.861593849346505</c:v>
                </c:pt>
                <c:pt idx="415">
                  <c:v>17.503858519139769</c:v>
                </c:pt>
                <c:pt idx="416">
                  <c:v>1.5336971537103352</c:v>
                </c:pt>
                <c:pt idx="417">
                  <c:v>0</c:v>
                </c:pt>
                <c:pt idx="418">
                  <c:v>0</c:v>
                </c:pt>
                <c:pt idx="419">
                  <c:v>17.782917760025327</c:v>
                </c:pt>
                <c:pt idx="420">
                  <c:v>0</c:v>
                </c:pt>
                <c:pt idx="421">
                  <c:v>32.699339668404249</c:v>
                </c:pt>
                <c:pt idx="422">
                  <c:v>0</c:v>
                </c:pt>
                <c:pt idx="423">
                  <c:v>5.7025702059751211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12.517031277129064</c:v>
                </c:pt>
                <c:pt idx="429">
                  <c:v>0.10251605911102502</c:v>
                </c:pt>
                <c:pt idx="430">
                  <c:v>0</c:v>
                </c:pt>
                <c:pt idx="431">
                  <c:v>32.45950964944366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3.8592617482501907</c:v>
                </c:pt>
                <c:pt idx="436">
                  <c:v>0</c:v>
                </c:pt>
                <c:pt idx="437">
                  <c:v>19.440108025054201</c:v>
                </c:pt>
                <c:pt idx="438">
                  <c:v>34.596696713263398</c:v>
                </c:pt>
                <c:pt idx="439">
                  <c:v>0</c:v>
                </c:pt>
                <c:pt idx="440">
                  <c:v>5.7673738319307688</c:v>
                </c:pt>
                <c:pt idx="441">
                  <c:v>4.4744782426369056</c:v>
                </c:pt>
                <c:pt idx="442">
                  <c:v>0</c:v>
                </c:pt>
                <c:pt idx="443">
                  <c:v>10.077858313820528</c:v>
                </c:pt>
                <c:pt idx="444">
                  <c:v>9.142260482086968</c:v>
                </c:pt>
                <c:pt idx="445">
                  <c:v>13.525908830663184</c:v>
                </c:pt>
                <c:pt idx="446">
                  <c:v>37.829144820906222</c:v>
                </c:pt>
                <c:pt idx="447">
                  <c:v>2.6759874667268946</c:v>
                </c:pt>
                <c:pt idx="448">
                  <c:v>0</c:v>
                </c:pt>
                <c:pt idx="449">
                  <c:v>66.387298937558128</c:v>
                </c:pt>
                <c:pt idx="450">
                  <c:v>0</c:v>
                </c:pt>
                <c:pt idx="451">
                  <c:v>24.221635920920477</c:v>
                </c:pt>
                <c:pt idx="452">
                  <c:v>0</c:v>
                </c:pt>
                <c:pt idx="453">
                  <c:v>30.513631074402198</c:v>
                </c:pt>
                <c:pt idx="454">
                  <c:v>0</c:v>
                </c:pt>
                <c:pt idx="455">
                  <c:v>15.377086872282092</c:v>
                </c:pt>
                <c:pt idx="456">
                  <c:v>24.89154035195314</c:v>
                </c:pt>
                <c:pt idx="457">
                  <c:v>40.962426019489797</c:v>
                </c:pt>
                <c:pt idx="458">
                  <c:v>0</c:v>
                </c:pt>
                <c:pt idx="459">
                  <c:v>31.779325234314499</c:v>
                </c:pt>
                <c:pt idx="460">
                  <c:v>24.144390576590212</c:v>
                </c:pt>
                <c:pt idx="461">
                  <c:v>5.8262547650271586</c:v>
                </c:pt>
                <c:pt idx="462">
                  <c:v>0</c:v>
                </c:pt>
                <c:pt idx="463">
                  <c:v>8.3279644625605442E-2</c:v>
                </c:pt>
                <c:pt idx="464">
                  <c:v>6.6541955732842628E-27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6.1630938691876906</c:v>
                </c:pt>
                <c:pt idx="469">
                  <c:v>0</c:v>
                </c:pt>
                <c:pt idx="470">
                  <c:v>12.62635584177319</c:v>
                </c:pt>
                <c:pt idx="471">
                  <c:v>31.803097867116989</c:v>
                </c:pt>
                <c:pt idx="472">
                  <c:v>0</c:v>
                </c:pt>
                <c:pt idx="473">
                  <c:v>54.346095667666916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8.3576830793103198</c:v>
                </c:pt>
                <c:pt idx="478">
                  <c:v>0</c:v>
                </c:pt>
                <c:pt idx="479">
                  <c:v>22.266447566206509</c:v>
                </c:pt>
                <c:pt idx="480">
                  <c:v>3.77194107855233E-81</c:v>
                </c:pt>
                <c:pt idx="481">
                  <c:v>11.749268734659267</c:v>
                </c:pt>
                <c:pt idx="482">
                  <c:v>6.4315527822002423</c:v>
                </c:pt>
                <c:pt idx="483">
                  <c:v>6.3123684740373776E-7</c:v>
                </c:pt>
                <c:pt idx="484">
                  <c:v>0.64425284595824905</c:v>
                </c:pt>
                <c:pt idx="485">
                  <c:v>0</c:v>
                </c:pt>
                <c:pt idx="486">
                  <c:v>4.2702485781006487</c:v>
                </c:pt>
                <c:pt idx="487">
                  <c:v>4.2375093017578678</c:v>
                </c:pt>
                <c:pt idx="488">
                  <c:v>12.830220483154974</c:v>
                </c:pt>
                <c:pt idx="489">
                  <c:v>0</c:v>
                </c:pt>
                <c:pt idx="490">
                  <c:v>62.450775661223432</c:v>
                </c:pt>
                <c:pt idx="491">
                  <c:v>0</c:v>
                </c:pt>
                <c:pt idx="492">
                  <c:v>14.206390748478711</c:v>
                </c:pt>
                <c:pt idx="493">
                  <c:v>20.048718493185106</c:v>
                </c:pt>
                <c:pt idx="494">
                  <c:v>0</c:v>
                </c:pt>
                <c:pt idx="495">
                  <c:v>48.203691941451083</c:v>
                </c:pt>
                <c:pt idx="496">
                  <c:v>7.6269842453612924E-128</c:v>
                </c:pt>
                <c:pt idx="497">
                  <c:v>0</c:v>
                </c:pt>
                <c:pt idx="498">
                  <c:v>21.62274947118749</c:v>
                </c:pt>
                <c:pt idx="499">
                  <c:v>33.330896007594831</c:v>
                </c:pt>
                <c:pt idx="500">
                  <c:v>0</c:v>
                </c:pt>
                <c:pt idx="501">
                  <c:v>0</c:v>
                </c:pt>
                <c:pt idx="502">
                  <c:v>42.337403346212753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15.407162964313073</c:v>
                </c:pt>
                <c:pt idx="508">
                  <c:v>1.6376161643462552</c:v>
                </c:pt>
                <c:pt idx="509">
                  <c:v>38.590911373252808</c:v>
                </c:pt>
                <c:pt idx="510">
                  <c:v>0</c:v>
                </c:pt>
                <c:pt idx="511">
                  <c:v>0</c:v>
                </c:pt>
                <c:pt idx="512">
                  <c:v>25.453442036767996</c:v>
                </c:pt>
                <c:pt idx="513">
                  <c:v>0</c:v>
                </c:pt>
                <c:pt idx="514">
                  <c:v>15.432685513290537</c:v>
                </c:pt>
                <c:pt idx="515">
                  <c:v>0</c:v>
                </c:pt>
                <c:pt idx="516">
                  <c:v>0</c:v>
                </c:pt>
                <c:pt idx="517">
                  <c:v>16.837963493997037</c:v>
                </c:pt>
                <c:pt idx="518">
                  <c:v>14.91455388449593</c:v>
                </c:pt>
                <c:pt idx="519">
                  <c:v>8.7320606181173872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7.7247913188056572</c:v>
                </c:pt>
                <c:pt idx="524">
                  <c:v>37.161413507222747</c:v>
                </c:pt>
                <c:pt idx="525">
                  <c:v>0</c:v>
                </c:pt>
                <c:pt idx="526">
                  <c:v>0</c:v>
                </c:pt>
                <c:pt idx="527">
                  <c:v>15.949393250924771</c:v>
                </c:pt>
                <c:pt idx="528">
                  <c:v>0</c:v>
                </c:pt>
                <c:pt idx="529">
                  <c:v>36.648039728276373</c:v>
                </c:pt>
                <c:pt idx="530">
                  <c:v>0</c:v>
                </c:pt>
                <c:pt idx="531">
                  <c:v>20.98906535488284</c:v>
                </c:pt>
                <c:pt idx="532">
                  <c:v>12.790620766234909</c:v>
                </c:pt>
                <c:pt idx="533">
                  <c:v>0</c:v>
                </c:pt>
                <c:pt idx="534">
                  <c:v>0.2719388183132736</c:v>
                </c:pt>
                <c:pt idx="535">
                  <c:v>4.967554686247027</c:v>
                </c:pt>
                <c:pt idx="536">
                  <c:v>0.96445998172249858</c:v>
                </c:pt>
                <c:pt idx="537">
                  <c:v>0</c:v>
                </c:pt>
                <c:pt idx="538">
                  <c:v>0</c:v>
                </c:pt>
                <c:pt idx="539">
                  <c:v>37.704421114639942</c:v>
                </c:pt>
                <c:pt idx="540">
                  <c:v>13.912110600717327</c:v>
                </c:pt>
                <c:pt idx="541">
                  <c:v>0</c:v>
                </c:pt>
                <c:pt idx="542">
                  <c:v>13.131140514414767</c:v>
                </c:pt>
                <c:pt idx="543">
                  <c:v>0</c:v>
                </c:pt>
                <c:pt idx="544">
                  <c:v>9.8429718310927967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5.3652214383320427</c:v>
                </c:pt>
                <c:pt idx="550">
                  <c:v>0</c:v>
                </c:pt>
                <c:pt idx="551">
                  <c:v>9.3291237957002693</c:v>
                </c:pt>
                <c:pt idx="552">
                  <c:v>0</c:v>
                </c:pt>
                <c:pt idx="553">
                  <c:v>0</c:v>
                </c:pt>
                <c:pt idx="554">
                  <c:v>12.801973358897428</c:v>
                </c:pt>
                <c:pt idx="555">
                  <c:v>16.969933857723419</c:v>
                </c:pt>
                <c:pt idx="556">
                  <c:v>1.6383056904040956</c:v>
                </c:pt>
                <c:pt idx="557">
                  <c:v>45.004615855552728</c:v>
                </c:pt>
                <c:pt idx="558">
                  <c:v>23.203750463157689</c:v>
                </c:pt>
                <c:pt idx="559">
                  <c:v>39.556192191899882</c:v>
                </c:pt>
                <c:pt idx="560">
                  <c:v>0</c:v>
                </c:pt>
                <c:pt idx="561">
                  <c:v>26.866921411047059</c:v>
                </c:pt>
                <c:pt idx="562">
                  <c:v>0</c:v>
                </c:pt>
                <c:pt idx="563">
                  <c:v>0</c:v>
                </c:pt>
                <c:pt idx="564">
                  <c:v>10.951699549896588</c:v>
                </c:pt>
                <c:pt idx="565">
                  <c:v>48.03373049024195</c:v>
                </c:pt>
                <c:pt idx="566">
                  <c:v>0</c:v>
                </c:pt>
                <c:pt idx="567">
                  <c:v>26.552916654712618</c:v>
                </c:pt>
                <c:pt idx="568">
                  <c:v>21.478415048759842</c:v>
                </c:pt>
                <c:pt idx="569">
                  <c:v>14.460676537226689</c:v>
                </c:pt>
                <c:pt idx="570">
                  <c:v>0</c:v>
                </c:pt>
                <c:pt idx="571">
                  <c:v>0</c:v>
                </c:pt>
                <c:pt idx="572">
                  <c:v>26.395586975417672</c:v>
                </c:pt>
                <c:pt idx="573">
                  <c:v>19.316912024606239</c:v>
                </c:pt>
                <c:pt idx="574">
                  <c:v>5.3633900959514544E-245</c:v>
                </c:pt>
                <c:pt idx="575">
                  <c:v>47.978566764094197</c:v>
                </c:pt>
                <c:pt idx="576">
                  <c:v>14.608814061545161</c:v>
                </c:pt>
                <c:pt idx="577">
                  <c:v>23.336363301176377</c:v>
                </c:pt>
                <c:pt idx="578">
                  <c:v>23.326684621875614</c:v>
                </c:pt>
                <c:pt idx="579">
                  <c:v>0</c:v>
                </c:pt>
                <c:pt idx="580">
                  <c:v>8.3199637398050044</c:v>
                </c:pt>
                <c:pt idx="581">
                  <c:v>47.946713368101726</c:v>
                </c:pt>
                <c:pt idx="582">
                  <c:v>5.992944868120162</c:v>
                </c:pt>
                <c:pt idx="583">
                  <c:v>54.313720066470225</c:v>
                </c:pt>
                <c:pt idx="584">
                  <c:v>2.7319384689785267</c:v>
                </c:pt>
                <c:pt idx="585">
                  <c:v>0</c:v>
                </c:pt>
                <c:pt idx="586">
                  <c:v>0</c:v>
                </c:pt>
                <c:pt idx="587">
                  <c:v>48.920801142780036</c:v>
                </c:pt>
                <c:pt idx="588">
                  <c:v>5.2819407120678932</c:v>
                </c:pt>
                <c:pt idx="589">
                  <c:v>0</c:v>
                </c:pt>
                <c:pt idx="590">
                  <c:v>5.3073126375531388</c:v>
                </c:pt>
                <c:pt idx="591">
                  <c:v>31.204211627774598</c:v>
                </c:pt>
                <c:pt idx="592">
                  <c:v>11.726047893453085</c:v>
                </c:pt>
                <c:pt idx="593">
                  <c:v>0</c:v>
                </c:pt>
                <c:pt idx="594">
                  <c:v>0</c:v>
                </c:pt>
                <c:pt idx="595">
                  <c:v>24.191980123478871</c:v>
                </c:pt>
                <c:pt idx="596">
                  <c:v>69.897825239580058</c:v>
                </c:pt>
                <c:pt idx="597">
                  <c:v>0</c:v>
                </c:pt>
                <c:pt idx="598">
                  <c:v>22.774576435413621</c:v>
                </c:pt>
                <c:pt idx="599">
                  <c:v>7.3148658823522652</c:v>
                </c:pt>
                <c:pt idx="600">
                  <c:v>18.723846745199438</c:v>
                </c:pt>
                <c:pt idx="601">
                  <c:v>12.011131846332731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26.03725077587049</c:v>
                </c:pt>
                <c:pt idx="609">
                  <c:v>21.02664597214914</c:v>
                </c:pt>
                <c:pt idx="610">
                  <c:v>9.3318985553045906</c:v>
                </c:pt>
                <c:pt idx="611">
                  <c:v>0</c:v>
                </c:pt>
                <c:pt idx="612">
                  <c:v>0</c:v>
                </c:pt>
                <c:pt idx="613">
                  <c:v>30.559361572207067</c:v>
                </c:pt>
                <c:pt idx="614">
                  <c:v>35.404173384008359</c:v>
                </c:pt>
                <c:pt idx="615">
                  <c:v>82.296985818846068</c:v>
                </c:pt>
                <c:pt idx="616">
                  <c:v>0</c:v>
                </c:pt>
                <c:pt idx="617">
                  <c:v>5.1081089859089843</c:v>
                </c:pt>
                <c:pt idx="618">
                  <c:v>0</c:v>
                </c:pt>
                <c:pt idx="619">
                  <c:v>0.39248969254535382</c:v>
                </c:pt>
                <c:pt idx="620">
                  <c:v>14.490265471403461</c:v>
                </c:pt>
                <c:pt idx="621">
                  <c:v>0.40477723834204937</c:v>
                </c:pt>
                <c:pt idx="622">
                  <c:v>0</c:v>
                </c:pt>
                <c:pt idx="623">
                  <c:v>1.5942953992148858</c:v>
                </c:pt>
                <c:pt idx="624">
                  <c:v>41.602078449881063</c:v>
                </c:pt>
                <c:pt idx="625">
                  <c:v>35.351708994569023</c:v>
                </c:pt>
                <c:pt idx="626">
                  <c:v>5.3197761545560525</c:v>
                </c:pt>
                <c:pt idx="627">
                  <c:v>14.90374589598818</c:v>
                </c:pt>
                <c:pt idx="628">
                  <c:v>20.992754771086794</c:v>
                </c:pt>
                <c:pt idx="629">
                  <c:v>29.213516486616598</c:v>
                </c:pt>
                <c:pt idx="630">
                  <c:v>14.958489354130748</c:v>
                </c:pt>
                <c:pt idx="631">
                  <c:v>0</c:v>
                </c:pt>
                <c:pt idx="632">
                  <c:v>0</c:v>
                </c:pt>
                <c:pt idx="633">
                  <c:v>21.554317986566204</c:v>
                </c:pt>
                <c:pt idx="634">
                  <c:v>0</c:v>
                </c:pt>
                <c:pt idx="635">
                  <c:v>20.440459885921044</c:v>
                </c:pt>
                <c:pt idx="636">
                  <c:v>0</c:v>
                </c:pt>
                <c:pt idx="637">
                  <c:v>0</c:v>
                </c:pt>
                <c:pt idx="638">
                  <c:v>8.735942802792664</c:v>
                </c:pt>
                <c:pt idx="639">
                  <c:v>12.296879261611778</c:v>
                </c:pt>
                <c:pt idx="640">
                  <c:v>16.949089487237856</c:v>
                </c:pt>
                <c:pt idx="641">
                  <c:v>26.105036673013061</c:v>
                </c:pt>
                <c:pt idx="642">
                  <c:v>6.8529109951242901</c:v>
                </c:pt>
                <c:pt idx="643">
                  <c:v>0</c:v>
                </c:pt>
                <c:pt idx="644">
                  <c:v>19.638889762376664</c:v>
                </c:pt>
                <c:pt idx="645">
                  <c:v>8.0084886627454495</c:v>
                </c:pt>
                <c:pt idx="646">
                  <c:v>85.551532978503147</c:v>
                </c:pt>
                <c:pt idx="647">
                  <c:v>0</c:v>
                </c:pt>
                <c:pt idx="648">
                  <c:v>1.9564074429025027</c:v>
                </c:pt>
                <c:pt idx="649">
                  <c:v>6.1472328144069763</c:v>
                </c:pt>
                <c:pt idx="650">
                  <c:v>8.5487848287147159</c:v>
                </c:pt>
                <c:pt idx="651">
                  <c:v>17.358231764693471</c:v>
                </c:pt>
                <c:pt idx="652">
                  <c:v>17.339992479255301</c:v>
                </c:pt>
                <c:pt idx="653">
                  <c:v>26.459545640079753</c:v>
                </c:pt>
                <c:pt idx="654">
                  <c:v>37.624122284333808</c:v>
                </c:pt>
                <c:pt idx="655">
                  <c:v>9.2279949627273794</c:v>
                </c:pt>
                <c:pt idx="656">
                  <c:v>0</c:v>
                </c:pt>
                <c:pt idx="657">
                  <c:v>12.120820307798908</c:v>
                </c:pt>
                <c:pt idx="658">
                  <c:v>0</c:v>
                </c:pt>
                <c:pt idx="659">
                  <c:v>10.452954855928752</c:v>
                </c:pt>
                <c:pt idx="660">
                  <c:v>18.442218381824546</c:v>
                </c:pt>
                <c:pt idx="661">
                  <c:v>25.606146693268286</c:v>
                </c:pt>
                <c:pt idx="662">
                  <c:v>41.290535103566711</c:v>
                </c:pt>
                <c:pt idx="663">
                  <c:v>0</c:v>
                </c:pt>
                <c:pt idx="664">
                  <c:v>28.087129275577681</c:v>
                </c:pt>
                <c:pt idx="665">
                  <c:v>0</c:v>
                </c:pt>
                <c:pt idx="666">
                  <c:v>4.3620374196606804E-2</c:v>
                </c:pt>
                <c:pt idx="667">
                  <c:v>0</c:v>
                </c:pt>
                <c:pt idx="668">
                  <c:v>46.994876820170774</c:v>
                </c:pt>
                <c:pt idx="669">
                  <c:v>0</c:v>
                </c:pt>
                <c:pt idx="670">
                  <c:v>22.282560896682554</c:v>
                </c:pt>
                <c:pt idx="671">
                  <c:v>11.742294070969479</c:v>
                </c:pt>
                <c:pt idx="672">
                  <c:v>13.026008004050652</c:v>
                </c:pt>
                <c:pt idx="673">
                  <c:v>8.3170371889765562</c:v>
                </c:pt>
                <c:pt idx="674">
                  <c:v>8.6024992769316668</c:v>
                </c:pt>
                <c:pt idx="675">
                  <c:v>0</c:v>
                </c:pt>
                <c:pt idx="676">
                  <c:v>0.57812233668913393</c:v>
                </c:pt>
                <c:pt idx="677">
                  <c:v>17.411174488899206</c:v>
                </c:pt>
                <c:pt idx="678">
                  <c:v>0</c:v>
                </c:pt>
                <c:pt idx="679">
                  <c:v>3.4375130317649365</c:v>
                </c:pt>
                <c:pt idx="680">
                  <c:v>13.924197435824453</c:v>
                </c:pt>
                <c:pt idx="681">
                  <c:v>0</c:v>
                </c:pt>
                <c:pt idx="682">
                  <c:v>24.097295413667197</c:v>
                </c:pt>
                <c:pt idx="683">
                  <c:v>0</c:v>
                </c:pt>
                <c:pt idx="684">
                  <c:v>0</c:v>
                </c:pt>
                <c:pt idx="685">
                  <c:v>55.483404972892473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58.607195432463996</c:v>
                </c:pt>
                <c:pt idx="691">
                  <c:v>24.613460067833202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37.110790017060211</c:v>
                </c:pt>
                <c:pt idx="696">
                  <c:v>2.3658050534126289</c:v>
                </c:pt>
                <c:pt idx="697">
                  <c:v>38.304837074263261</c:v>
                </c:pt>
                <c:pt idx="698">
                  <c:v>0</c:v>
                </c:pt>
                <c:pt idx="699">
                  <c:v>14.362340932147731</c:v>
                </c:pt>
                <c:pt idx="700">
                  <c:v>0</c:v>
                </c:pt>
                <c:pt idx="701">
                  <c:v>0</c:v>
                </c:pt>
                <c:pt idx="702">
                  <c:v>20.977281311521693</c:v>
                </c:pt>
                <c:pt idx="703">
                  <c:v>0</c:v>
                </c:pt>
                <c:pt idx="704">
                  <c:v>4.101831695664842</c:v>
                </c:pt>
                <c:pt idx="705">
                  <c:v>78.541823737305421</c:v>
                </c:pt>
                <c:pt idx="706">
                  <c:v>0.41708446259357856</c:v>
                </c:pt>
                <c:pt idx="707">
                  <c:v>0</c:v>
                </c:pt>
                <c:pt idx="708">
                  <c:v>29.066284972392637</c:v>
                </c:pt>
                <c:pt idx="709">
                  <c:v>7.5022130330018721E-208</c:v>
                </c:pt>
                <c:pt idx="710">
                  <c:v>17.989063564200933</c:v>
                </c:pt>
                <c:pt idx="711">
                  <c:v>29.103628304176951</c:v>
                </c:pt>
                <c:pt idx="712">
                  <c:v>0</c:v>
                </c:pt>
                <c:pt idx="713">
                  <c:v>60.17096994130786</c:v>
                </c:pt>
                <c:pt idx="714">
                  <c:v>0</c:v>
                </c:pt>
                <c:pt idx="715">
                  <c:v>53.844954955830403</c:v>
                </c:pt>
                <c:pt idx="716">
                  <c:v>21.894543043318919</c:v>
                </c:pt>
                <c:pt idx="717">
                  <c:v>11.303636183199259</c:v>
                </c:pt>
                <c:pt idx="718">
                  <c:v>13.861337140184105</c:v>
                </c:pt>
                <c:pt idx="719">
                  <c:v>0</c:v>
                </c:pt>
                <c:pt idx="720">
                  <c:v>0</c:v>
                </c:pt>
                <c:pt idx="721">
                  <c:v>28.332641550274772</c:v>
                </c:pt>
                <c:pt idx="722">
                  <c:v>0</c:v>
                </c:pt>
                <c:pt idx="723">
                  <c:v>2.1737105989904961</c:v>
                </c:pt>
                <c:pt idx="724">
                  <c:v>15.890268580656922</c:v>
                </c:pt>
                <c:pt idx="725">
                  <c:v>0</c:v>
                </c:pt>
                <c:pt idx="726">
                  <c:v>3.2060037803352515</c:v>
                </c:pt>
                <c:pt idx="727">
                  <c:v>7.4488435393911203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29.675592345991973</c:v>
                </c:pt>
                <c:pt idx="732">
                  <c:v>0</c:v>
                </c:pt>
                <c:pt idx="733">
                  <c:v>5.3410986835653063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29.591483869767657</c:v>
                </c:pt>
                <c:pt idx="738">
                  <c:v>35.561393063067484</c:v>
                </c:pt>
                <c:pt idx="739">
                  <c:v>0</c:v>
                </c:pt>
                <c:pt idx="740">
                  <c:v>13.986206584146672</c:v>
                </c:pt>
                <c:pt idx="741">
                  <c:v>0</c:v>
                </c:pt>
                <c:pt idx="742">
                  <c:v>0</c:v>
                </c:pt>
                <c:pt idx="743">
                  <c:v>1.3634086585681756E-149</c:v>
                </c:pt>
                <c:pt idx="744">
                  <c:v>0</c:v>
                </c:pt>
                <c:pt idx="745">
                  <c:v>12.770785119898733</c:v>
                </c:pt>
                <c:pt idx="746">
                  <c:v>3.0510074553339166</c:v>
                </c:pt>
                <c:pt idx="747">
                  <c:v>2.5820746483713037</c:v>
                </c:pt>
                <c:pt idx="748">
                  <c:v>0</c:v>
                </c:pt>
                <c:pt idx="749">
                  <c:v>4.774041533806006E-5</c:v>
                </c:pt>
                <c:pt idx="750">
                  <c:v>0</c:v>
                </c:pt>
                <c:pt idx="751">
                  <c:v>1.4794238177549716E-187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8.8623608230595039</c:v>
                </c:pt>
                <c:pt idx="756">
                  <c:v>0</c:v>
                </c:pt>
                <c:pt idx="757">
                  <c:v>4.715772280150458E-188</c:v>
                </c:pt>
                <c:pt idx="758">
                  <c:v>0</c:v>
                </c:pt>
                <c:pt idx="759">
                  <c:v>0</c:v>
                </c:pt>
                <c:pt idx="760">
                  <c:v>11.689566266402338</c:v>
                </c:pt>
                <c:pt idx="761">
                  <c:v>37.941293015319488</c:v>
                </c:pt>
                <c:pt idx="762">
                  <c:v>16.791397742753603</c:v>
                </c:pt>
                <c:pt idx="763">
                  <c:v>0</c:v>
                </c:pt>
                <c:pt idx="764">
                  <c:v>64.477161160923558</c:v>
                </c:pt>
                <c:pt idx="765">
                  <c:v>0</c:v>
                </c:pt>
                <c:pt idx="766">
                  <c:v>8.3978584581814175E-2</c:v>
                </c:pt>
                <c:pt idx="767">
                  <c:v>24.115903346360213</c:v>
                </c:pt>
                <c:pt idx="768">
                  <c:v>20.437177084207335</c:v>
                </c:pt>
                <c:pt idx="769">
                  <c:v>0</c:v>
                </c:pt>
                <c:pt idx="770">
                  <c:v>18.268673204141976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7.0831369220848615</c:v>
                </c:pt>
                <c:pt idx="775">
                  <c:v>3.3400213820123525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12.490776420471036</c:v>
                </c:pt>
                <c:pt idx="780">
                  <c:v>16.281041986424754</c:v>
                </c:pt>
                <c:pt idx="781">
                  <c:v>0</c:v>
                </c:pt>
                <c:pt idx="782">
                  <c:v>0</c:v>
                </c:pt>
                <c:pt idx="783">
                  <c:v>22.959075666372101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26.723318892049832</c:v>
                </c:pt>
                <c:pt idx="788">
                  <c:v>0</c:v>
                </c:pt>
                <c:pt idx="789">
                  <c:v>24.442428771247421</c:v>
                </c:pt>
                <c:pt idx="790">
                  <c:v>13.374373820282244</c:v>
                </c:pt>
                <c:pt idx="791">
                  <c:v>0</c:v>
                </c:pt>
                <c:pt idx="792">
                  <c:v>11.721495617111913</c:v>
                </c:pt>
                <c:pt idx="793">
                  <c:v>6.8020777172995821</c:v>
                </c:pt>
                <c:pt idx="794">
                  <c:v>39.15269027861784</c:v>
                </c:pt>
                <c:pt idx="795">
                  <c:v>28.301089385866831</c:v>
                </c:pt>
                <c:pt idx="796">
                  <c:v>34.69906459692298</c:v>
                </c:pt>
                <c:pt idx="797">
                  <c:v>3.9292788708298474</c:v>
                </c:pt>
                <c:pt idx="798">
                  <c:v>3.3843520379835894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13.321485567539682</c:v>
                </c:pt>
                <c:pt idx="803">
                  <c:v>13.025373807529903</c:v>
                </c:pt>
                <c:pt idx="804">
                  <c:v>0</c:v>
                </c:pt>
                <c:pt idx="805">
                  <c:v>0</c:v>
                </c:pt>
                <c:pt idx="806">
                  <c:v>36.613943636891136</c:v>
                </c:pt>
                <c:pt idx="807">
                  <c:v>57.743736116652585</c:v>
                </c:pt>
                <c:pt idx="808">
                  <c:v>0</c:v>
                </c:pt>
                <c:pt idx="809">
                  <c:v>5.2367188833114966</c:v>
                </c:pt>
                <c:pt idx="810">
                  <c:v>0</c:v>
                </c:pt>
                <c:pt idx="811">
                  <c:v>8.6601318396299405</c:v>
                </c:pt>
                <c:pt idx="812">
                  <c:v>0</c:v>
                </c:pt>
                <c:pt idx="813">
                  <c:v>2.1203952237772796</c:v>
                </c:pt>
                <c:pt idx="814">
                  <c:v>4.5005671503114968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28.551828161451098</c:v>
                </c:pt>
                <c:pt idx="820">
                  <c:v>17.717137070653152</c:v>
                </c:pt>
                <c:pt idx="821">
                  <c:v>45.064649349784347</c:v>
                </c:pt>
                <c:pt idx="822">
                  <c:v>0</c:v>
                </c:pt>
                <c:pt idx="823">
                  <c:v>0</c:v>
                </c:pt>
                <c:pt idx="824">
                  <c:v>49.083580913076119</c:v>
                </c:pt>
                <c:pt idx="825">
                  <c:v>0</c:v>
                </c:pt>
                <c:pt idx="826">
                  <c:v>0</c:v>
                </c:pt>
                <c:pt idx="827">
                  <c:v>51.087410264493414</c:v>
                </c:pt>
                <c:pt idx="828">
                  <c:v>24.931265670494383</c:v>
                </c:pt>
                <c:pt idx="829">
                  <c:v>0</c:v>
                </c:pt>
                <c:pt idx="830">
                  <c:v>0</c:v>
                </c:pt>
                <c:pt idx="831">
                  <c:v>18.07624395338793</c:v>
                </c:pt>
                <c:pt idx="832">
                  <c:v>20.280020816689529</c:v>
                </c:pt>
                <c:pt idx="833">
                  <c:v>0</c:v>
                </c:pt>
                <c:pt idx="834">
                  <c:v>0</c:v>
                </c:pt>
                <c:pt idx="835">
                  <c:v>7.0580716662617391</c:v>
                </c:pt>
                <c:pt idx="836">
                  <c:v>0</c:v>
                </c:pt>
                <c:pt idx="837">
                  <c:v>2.2733429199933702E-162</c:v>
                </c:pt>
                <c:pt idx="838">
                  <c:v>20.130825008246546</c:v>
                </c:pt>
                <c:pt idx="839">
                  <c:v>0</c:v>
                </c:pt>
                <c:pt idx="840">
                  <c:v>8.3214679450705091</c:v>
                </c:pt>
                <c:pt idx="841">
                  <c:v>18.606328086568297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32.712192452603816</c:v>
                </c:pt>
                <c:pt idx="847">
                  <c:v>2.7582744491014353</c:v>
                </c:pt>
                <c:pt idx="848">
                  <c:v>0</c:v>
                </c:pt>
                <c:pt idx="849">
                  <c:v>34.062298495669282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2.3347289392299331</c:v>
                </c:pt>
                <c:pt idx="855">
                  <c:v>0</c:v>
                </c:pt>
                <c:pt idx="856">
                  <c:v>6.1690587735311766</c:v>
                </c:pt>
                <c:pt idx="857">
                  <c:v>0</c:v>
                </c:pt>
                <c:pt idx="858">
                  <c:v>0</c:v>
                </c:pt>
                <c:pt idx="859">
                  <c:v>6.1393848691249673</c:v>
                </c:pt>
                <c:pt idx="860">
                  <c:v>35.45754235473332</c:v>
                </c:pt>
                <c:pt idx="861">
                  <c:v>19.198818699420286</c:v>
                </c:pt>
                <c:pt idx="862">
                  <c:v>10.348700700168138</c:v>
                </c:pt>
                <c:pt idx="863">
                  <c:v>13.402537823232251</c:v>
                </c:pt>
                <c:pt idx="864">
                  <c:v>1.156218583412815E-77</c:v>
                </c:pt>
                <c:pt idx="865">
                  <c:v>0</c:v>
                </c:pt>
                <c:pt idx="866">
                  <c:v>3.3991189687390886</c:v>
                </c:pt>
                <c:pt idx="867">
                  <c:v>3.6934855337999579</c:v>
                </c:pt>
                <c:pt idx="868">
                  <c:v>0</c:v>
                </c:pt>
                <c:pt idx="869">
                  <c:v>0</c:v>
                </c:pt>
                <c:pt idx="870">
                  <c:v>21.027132614976622</c:v>
                </c:pt>
                <c:pt idx="871">
                  <c:v>33.549176358306042</c:v>
                </c:pt>
                <c:pt idx="872">
                  <c:v>0</c:v>
                </c:pt>
                <c:pt idx="873">
                  <c:v>29.12159343918303</c:v>
                </c:pt>
                <c:pt idx="874">
                  <c:v>24.841854586891628</c:v>
                </c:pt>
                <c:pt idx="875">
                  <c:v>4.6162516192454603</c:v>
                </c:pt>
                <c:pt idx="876">
                  <c:v>0</c:v>
                </c:pt>
                <c:pt idx="877">
                  <c:v>0</c:v>
                </c:pt>
                <c:pt idx="878">
                  <c:v>3.1776198158052296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10.643139806266092</c:v>
                </c:pt>
                <c:pt idx="884">
                  <c:v>6.5817328589759398</c:v>
                </c:pt>
                <c:pt idx="885">
                  <c:v>36.076196347495468</c:v>
                </c:pt>
                <c:pt idx="886">
                  <c:v>10.939014500089698</c:v>
                </c:pt>
                <c:pt idx="887">
                  <c:v>0</c:v>
                </c:pt>
                <c:pt idx="888">
                  <c:v>13.490805402729038</c:v>
                </c:pt>
                <c:pt idx="889">
                  <c:v>0</c:v>
                </c:pt>
                <c:pt idx="890">
                  <c:v>17.644365524174148</c:v>
                </c:pt>
                <c:pt idx="891">
                  <c:v>30.767354880334935</c:v>
                </c:pt>
                <c:pt idx="892">
                  <c:v>0</c:v>
                </c:pt>
                <c:pt idx="893">
                  <c:v>36.291698197226495</c:v>
                </c:pt>
                <c:pt idx="894">
                  <c:v>3.7406068848469938E-304</c:v>
                </c:pt>
                <c:pt idx="895">
                  <c:v>52.566852388025396</c:v>
                </c:pt>
                <c:pt idx="896">
                  <c:v>0</c:v>
                </c:pt>
                <c:pt idx="897">
                  <c:v>24.44715031579581</c:v>
                </c:pt>
                <c:pt idx="898">
                  <c:v>17.479280354786326</c:v>
                </c:pt>
                <c:pt idx="899">
                  <c:v>7.1238095401389785</c:v>
                </c:pt>
                <c:pt idx="900">
                  <c:v>14.254444486318931</c:v>
                </c:pt>
                <c:pt idx="901">
                  <c:v>0.92764517420148707</c:v>
                </c:pt>
                <c:pt idx="902">
                  <c:v>29.007489351273179</c:v>
                </c:pt>
                <c:pt idx="903">
                  <c:v>0</c:v>
                </c:pt>
                <c:pt idx="904">
                  <c:v>0</c:v>
                </c:pt>
                <c:pt idx="905">
                  <c:v>18.979537664801342</c:v>
                </c:pt>
                <c:pt idx="906">
                  <c:v>19.827294951718017</c:v>
                </c:pt>
                <c:pt idx="907">
                  <c:v>43.500164452436636</c:v>
                </c:pt>
                <c:pt idx="908">
                  <c:v>10.411280659734629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17.562010948945485</c:v>
                </c:pt>
                <c:pt idx="915">
                  <c:v>29.778957168920371</c:v>
                </c:pt>
                <c:pt idx="916">
                  <c:v>8.5532403627374549</c:v>
                </c:pt>
                <c:pt idx="917">
                  <c:v>4.4915534603096461</c:v>
                </c:pt>
                <c:pt idx="918">
                  <c:v>27.408461929553269</c:v>
                </c:pt>
                <c:pt idx="919">
                  <c:v>10.956172713262234</c:v>
                </c:pt>
                <c:pt idx="920">
                  <c:v>0</c:v>
                </c:pt>
                <c:pt idx="921">
                  <c:v>0</c:v>
                </c:pt>
                <c:pt idx="922">
                  <c:v>5.0422684412356205</c:v>
                </c:pt>
                <c:pt idx="923">
                  <c:v>0</c:v>
                </c:pt>
                <c:pt idx="924">
                  <c:v>41.876545009589549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32.060493464564317</c:v>
                </c:pt>
                <c:pt idx="930">
                  <c:v>0.38163471696221052</c:v>
                </c:pt>
                <c:pt idx="931">
                  <c:v>42.525799681616107</c:v>
                </c:pt>
                <c:pt idx="932">
                  <c:v>0</c:v>
                </c:pt>
                <c:pt idx="933">
                  <c:v>0</c:v>
                </c:pt>
                <c:pt idx="934">
                  <c:v>1.9774592666522093E-76</c:v>
                </c:pt>
                <c:pt idx="935">
                  <c:v>6.3913162538270427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10.829949306254107</c:v>
                </c:pt>
                <c:pt idx="940">
                  <c:v>13.82356576431971</c:v>
                </c:pt>
                <c:pt idx="941">
                  <c:v>10.825018910075002</c:v>
                </c:pt>
                <c:pt idx="942">
                  <c:v>46.10061424638387</c:v>
                </c:pt>
                <c:pt idx="943">
                  <c:v>0</c:v>
                </c:pt>
                <c:pt idx="944">
                  <c:v>8.6233008330336105</c:v>
                </c:pt>
                <c:pt idx="945">
                  <c:v>1.0517712573329464E-96</c:v>
                </c:pt>
                <c:pt idx="946">
                  <c:v>17.826624598492046</c:v>
                </c:pt>
                <c:pt idx="947">
                  <c:v>0.62388405679612902</c:v>
                </c:pt>
                <c:pt idx="948">
                  <c:v>0</c:v>
                </c:pt>
                <c:pt idx="949">
                  <c:v>26.603766886478539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6.476719734290711</c:v>
                </c:pt>
                <c:pt idx="954">
                  <c:v>19.43450117231211</c:v>
                </c:pt>
                <c:pt idx="955">
                  <c:v>67.286634406973505</c:v>
                </c:pt>
                <c:pt idx="956">
                  <c:v>0</c:v>
                </c:pt>
                <c:pt idx="957">
                  <c:v>0</c:v>
                </c:pt>
                <c:pt idx="958">
                  <c:v>5.1859120203652935</c:v>
                </c:pt>
                <c:pt idx="959">
                  <c:v>0</c:v>
                </c:pt>
                <c:pt idx="960">
                  <c:v>36.482616816831538</c:v>
                </c:pt>
                <c:pt idx="961">
                  <c:v>0</c:v>
                </c:pt>
                <c:pt idx="962">
                  <c:v>0</c:v>
                </c:pt>
                <c:pt idx="963">
                  <c:v>18.651023919216129</c:v>
                </c:pt>
                <c:pt idx="964">
                  <c:v>0</c:v>
                </c:pt>
                <c:pt idx="965">
                  <c:v>23.979027392459315</c:v>
                </c:pt>
                <c:pt idx="966">
                  <c:v>4.3337424420169697</c:v>
                </c:pt>
                <c:pt idx="967">
                  <c:v>0</c:v>
                </c:pt>
                <c:pt idx="968">
                  <c:v>8.1373347597174046</c:v>
                </c:pt>
                <c:pt idx="969">
                  <c:v>61.603212719077774</c:v>
                </c:pt>
                <c:pt idx="970">
                  <c:v>0</c:v>
                </c:pt>
                <c:pt idx="971">
                  <c:v>84.186720806037172</c:v>
                </c:pt>
                <c:pt idx="972">
                  <c:v>1.321578462329299</c:v>
                </c:pt>
                <c:pt idx="973">
                  <c:v>18.853516227648043</c:v>
                </c:pt>
                <c:pt idx="974">
                  <c:v>21.920567187168956</c:v>
                </c:pt>
                <c:pt idx="975">
                  <c:v>0</c:v>
                </c:pt>
                <c:pt idx="976">
                  <c:v>7.9930079386728465</c:v>
                </c:pt>
                <c:pt idx="977">
                  <c:v>9.2403434564458706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24.042782534175615</c:v>
                </c:pt>
                <c:pt idx="982">
                  <c:v>17.61156750407217</c:v>
                </c:pt>
                <c:pt idx="983">
                  <c:v>18.746430757817905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15.385290077978311</c:v>
                </c:pt>
                <c:pt idx="988">
                  <c:v>0</c:v>
                </c:pt>
                <c:pt idx="989">
                  <c:v>24.502349847722627</c:v>
                </c:pt>
                <c:pt idx="990">
                  <c:v>0</c:v>
                </c:pt>
                <c:pt idx="991">
                  <c:v>12.823849770770352</c:v>
                </c:pt>
                <c:pt idx="992">
                  <c:v>4.0685467406822653</c:v>
                </c:pt>
                <c:pt idx="993">
                  <c:v>7.8374420435748959</c:v>
                </c:pt>
                <c:pt idx="994">
                  <c:v>45.957501675522835</c:v>
                </c:pt>
                <c:pt idx="995">
                  <c:v>13.186384937921105</c:v>
                </c:pt>
                <c:pt idx="996">
                  <c:v>5.859249306948513</c:v>
                </c:pt>
                <c:pt idx="997">
                  <c:v>58.02757495723931</c:v>
                </c:pt>
                <c:pt idx="998">
                  <c:v>0</c:v>
                </c:pt>
                <c:pt idx="999">
                  <c:v>41.173293594266809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4-0F49-AFE7-4F2781431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762575"/>
        <c:axId val="795672159"/>
      </c:scatterChart>
      <c:valAx>
        <c:axId val="762762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72159"/>
        <c:crosses val="autoZero"/>
        <c:crossBetween val="midCat"/>
      </c:valAx>
      <c:valAx>
        <c:axId val="79567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762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Sheet1!$T$1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Sheet1!$R$2:$R$1001</c:f>
              <c:numCache>
                <c:formatCode>0.00000</c:formatCode>
                <c:ptCount val="1000"/>
                <c:pt idx="0">
                  <c:v>89.71660199885244</c:v>
                </c:pt>
                <c:pt idx="1">
                  <c:v>91.699389625256543</c:v>
                </c:pt>
                <c:pt idx="2">
                  <c:v>100.71475732202445</c:v>
                </c:pt>
                <c:pt idx="3">
                  <c:v>133.51284624943014</c:v>
                </c:pt>
                <c:pt idx="4">
                  <c:v>93.021561309725243</c:v>
                </c:pt>
                <c:pt idx="5">
                  <c:v>107.79770302471864</c:v>
                </c:pt>
                <c:pt idx="6">
                  <c:v>107.34026861751342</c:v>
                </c:pt>
                <c:pt idx="7">
                  <c:v>75.768513525639534</c:v>
                </c:pt>
                <c:pt idx="8">
                  <c:v>95.205816406091131</c:v>
                </c:pt>
                <c:pt idx="9">
                  <c:v>139.38226040854138</c:v>
                </c:pt>
                <c:pt idx="10">
                  <c:v>90.621874482793714</c:v>
                </c:pt>
                <c:pt idx="11">
                  <c:v>148.87690213123292</c:v>
                </c:pt>
                <c:pt idx="12">
                  <c:v>60.645472541300201</c:v>
                </c:pt>
                <c:pt idx="13">
                  <c:v>80.436917654326137</c:v>
                </c:pt>
                <c:pt idx="14">
                  <c:v>101.7768218508761</c:v>
                </c:pt>
                <c:pt idx="15">
                  <c:v>103.6112069765953</c:v>
                </c:pt>
                <c:pt idx="16">
                  <c:v>87.333239274817799</c:v>
                </c:pt>
                <c:pt idx="17">
                  <c:v>100.38022434228925</c:v>
                </c:pt>
                <c:pt idx="18">
                  <c:v>96.631493782476539</c:v>
                </c:pt>
                <c:pt idx="19">
                  <c:v>110.44592077055715</c:v>
                </c:pt>
                <c:pt idx="20">
                  <c:v>75.496352825127431</c:v>
                </c:pt>
                <c:pt idx="21">
                  <c:v>78.805326606084535</c:v>
                </c:pt>
                <c:pt idx="22">
                  <c:v>96.898851654257513</c:v>
                </c:pt>
                <c:pt idx="23">
                  <c:v>147.45132045155052</c:v>
                </c:pt>
                <c:pt idx="24">
                  <c:v>107.20919571437233</c:v>
                </c:pt>
                <c:pt idx="25">
                  <c:v>109.82741847198892</c:v>
                </c:pt>
                <c:pt idx="26">
                  <c:v>120.58403747169379</c:v>
                </c:pt>
                <c:pt idx="27">
                  <c:v>98.580050506933972</c:v>
                </c:pt>
                <c:pt idx="28">
                  <c:v>102.28976480300038</c:v>
                </c:pt>
                <c:pt idx="29">
                  <c:v>75.425043298324894</c:v>
                </c:pt>
                <c:pt idx="30">
                  <c:v>121.98887676756787</c:v>
                </c:pt>
                <c:pt idx="31">
                  <c:v>91.748677523986984</c:v>
                </c:pt>
                <c:pt idx="32">
                  <c:v>148.43706611425722</c:v>
                </c:pt>
                <c:pt idx="33">
                  <c:v>97.682322433631285</c:v>
                </c:pt>
                <c:pt idx="34">
                  <c:v>106.28560089007787</c:v>
                </c:pt>
                <c:pt idx="35">
                  <c:v>70.741744200476361</c:v>
                </c:pt>
                <c:pt idx="36">
                  <c:v>87.59389129213649</c:v>
                </c:pt>
                <c:pt idx="37">
                  <c:v>88.984570669499433</c:v>
                </c:pt>
                <c:pt idx="38">
                  <c:v>97.902607986810168</c:v>
                </c:pt>
                <c:pt idx="39">
                  <c:v>79.163868145330724</c:v>
                </c:pt>
                <c:pt idx="40">
                  <c:v>98.640427645725012</c:v>
                </c:pt>
                <c:pt idx="41">
                  <c:v>109.43364075628774</c:v>
                </c:pt>
                <c:pt idx="42">
                  <c:v>75.2424464297562</c:v>
                </c:pt>
                <c:pt idx="43">
                  <c:v>91.765786839992032</c:v>
                </c:pt>
                <c:pt idx="44">
                  <c:v>92.48749845747416</c:v>
                </c:pt>
                <c:pt idx="45">
                  <c:v>138.01480430769553</c:v>
                </c:pt>
                <c:pt idx="46">
                  <c:v>93.511346951388461</c:v>
                </c:pt>
                <c:pt idx="47">
                  <c:v>97.069295619204155</c:v>
                </c:pt>
                <c:pt idx="48">
                  <c:v>61.576640542138918</c:v>
                </c:pt>
                <c:pt idx="49">
                  <c:v>77.239829796349468</c:v>
                </c:pt>
                <c:pt idx="50">
                  <c:v>84.915735877546979</c:v>
                </c:pt>
                <c:pt idx="51">
                  <c:v>101.97097764173968</c:v>
                </c:pt>
                <c:pt idx="52">
                  <c:v>108.81524063988437</c:v>
                </c:pt>
                <c:pt idx="53">
                  <c:v>131.46173101979844</c:v>
                </c:pt>
                <c:pt idx="54">
                  <c:v>133.74964603746531</c:v>
                </c:pt>
                <c:pt idx="55">
                  <c:v>94.502245569506044</c:v>
                </c:pt>
                <c:pt idx="56">
                  <c:v>121.63463791890452</c:v>
                </c:pt>
                <c:pt idx="57">
                  <c:v>124.2161322999865</c:v>
                </c:pt>
                <c:pt idx="58">
                  <c:v>105.63371991707427</c:v>
                </c:pt>
                <c:pt idx="59">
                  <c:v>120.52696858943581</c:v>
                </c:pt>
                <c:pt idx="60">
                  <c:v>121.43196581051427</c:v>
                </c:pt>
                <c:pt idx="61">
                  <c:v>128.31797863296592</c:v>
                </c:pt>
                <c:pt idx="62">
                  <c:v>81.474413021711356</c:v>
                </c:pt>
                <c:pt idx="63">
                  <c:v>67.897781069105136</c:v>
                </c:pt>
                <c:pt idx="64">
                  <c:v>107.40000105063132</c:v>
                </c:pt>
                <c:pt idx="65">
                  <c:v>152.45220095726162</c:v>
                </c:pt>
                <c:pt idx="66">
                  <c:v>115.98730525885453</c:v>
                </c:pt>
                <c:pt idx="67">
                  <c:v>76.028457272780557</c:v>
                </c:pt>
                <c:pt idx="68">
                  <c:v>97.512010511284458</c:v>
                </c:pt>
                <c:pt idx="69">
                  <c:v>109.93976680272833</c:v>
                </c:pt>
                <c:pt idx="70">
                  <c:v>106.00546186759912</c:v>
                </c:pt>
                <c:pt idx="71">
                  <c:v>144.06644478768948</c:v>
                </c:pt>
                <c:pt idx="72">
                  <c:v>86.118131937627808</c:v>
                </c:pt>
                <c:pt idx="73">
                  <c:v>94.579975424881567</c:v>
                </c:pt>
                <c:pt idx="74">
                  <c:v>122.58950035304113</c:v>
                </c:pt>
                <c:pt idx="75">
                  <c:v>93.670282810023068</c:v>
                </c:pt>
                <c:pt idx="76">
                  <c:v>90.244496729458547</c:v>
                </c:pt>
                <c:pt idx="77">
                  <c:v>84.199057889859148</c:v>
                </c:pt>
                <c:pt idx="78">
                  <c:v>85.499699981562898</c:v>
                </c:pt>
                <c:pt idx="79">
                  <c:v>104.74411708764347</c:v>
                </c:pt>
                <c:pt idx="80">
                  <c:v>93.88422674990332</c:v>
                </c:pt>
                <c:pt idx="81">
                  <c:v>103.79337934076555</c:v>
                </c:pt>
                <c:pt idx="82">
                  <c:v>68.658934794722555</c:v>
                </c:pt>
                <c:pt idx="83">
                  <c:v>95.001789263728327</c:v>
                </c:pt>
                <c:pt idx="84">
                  <c:v>88.149241194400076</c:v>
                </c:pt>
                <c:pt idx="85">
                  <c:v>90.827324269917426</c:v>
                </c:pt>
                <c:pt idx="86">
                  <c:v>107.47361439660156</c:v>
                </c:pt>
                <c:pt idx="87">
                  <c:v>136.82488500726052</c:v>
                </c:pt>
                <c:pt idx="88">
                  <c:v>123.70752567492126</c:v>
                </c:pt>
                <c:pt idx="89">
                  <c:v>119.36829643375528</c:v>
                </c:pt>
                <c:pt idx="90">
                  <c:v>94.394905525992286</c:v>
                </c:pt>
                <c:pt idx="91">
                  <c:v>98.700282094291808</c:v>
                </c:pt>
                <c:pt idx="92">
                  <c:v>102.69679409420112</c:v>
                </c:pt>
                <c:pt idx="93">
                  <c:v>84.634536487826708</c:v>
                </c:pt>
                <c:pt idx="94">
                  <c:v>91.928138045072927</c:v>
                </c:pt>
                <c:pt idx="95">
                  <c:v>92.573022453437986</c:v>
                </c:pt>
                <c:pt idx="96">
                  <c:v>101.79276239762829</c:v>
                </c:pt>
                <c:pt idx="97">
                  <c:v>105.67700871903574</c:v>
                </c:pt>
                <c:pt idx="98">
                  <c:v>76.031328122873163</c:v>
                </c:pt>
                <c:pt idx="99">
                  <c:v>114.29439312365425</c:v>
                </c:pt>
                <c:pt idx="100">
                  <c:v>110.18550504974583</c:v>
                </c:pt>
                <c:pt idx="101">
                  <c:v>100.21548608313179</c:v>
                </c:pt>
                <c:pt idx="102">
                  <c:v>96.206706732930144</c:v>
                </c:pt>
                <c:pt idx="103">
                  <c:v>100.12904648016891</c:v>
                </c:pt>
                <c:pt idx="104">
                  <c:v>107.3100255788823</c:v>
                </c:pt>
                <c:pt idx="105">
                  <c:v>86.592304726605335</c:v>
                </c:pt>
                <c:pt idx="106">
                  <c:v>90.594831376121888</c:v>
                </c:pt>
                <c:pt idx="107">
                  <c:v>93.349513886834615</c:v>
                </c:pt>
                <c:pt idx="108">
                  <c:v>128.44518033365401</c:v>
                </c:pt>
                <c:pt idx="109">
                  <c:v>153.35769365047301</c:v>
                </c:pt>
                <c:pt idx="110">
                  <c:v>97.403654800954399</c:v>
                </c:pt>
                <c:pt idx="111">
                  <c:v>151.447182783415</c:v>
                </c:pt>
                <c:pt idx="112">
                  <c:v>76.458152570568686</c:v>
                </c:pt>
                <c:pt idx="113">
                  <c:v>91.399102855487115</c:v>
                </c:pt>
                <c:pt idx="114">
                  <c:v>106.12790647345393</c:v>
                </c:pt>
                <c:pt idx="115">
                  <c:v>133.54328272855568</c:v>
                </c:pt>
                <c:pt idx="116">
                  <c:v>111.96313961256435</c:v>
                </c:pt>
                <c:pt idx="117">
                  <c:v>126.05952653572085</c:v>
                </c:pt>
                <c:pt idx="118">
                  <c:v>73.270565177602663</c:v>
                </c:pt>
                <c:pt idx="119">
                  <c:v>90.384475636813704</c:v>
                </c:pt>
                <c:pt idx="120">
                  <c:v>116.67131038546793</c:v>
                </c:pt>
                <c:pt idx="121">
                  <c:v>102.91877983066571</c:v>
                </c:pt>
                <c:pt idx="122">
                  <c:v>99.927818760767806</c:v>
                </c:pt>
                <c:pt idx="123">
                  <c:v>111.67118132502874</c:v>
                </c:pt>
                <c:pt idx="124">
                  <c:v>88.916560768345832</c:v>
                </c:pt>
                <c:pt idx="125">
                  <c:v>127.25548177316567</c:v>
                </c:pt>
                <c:pt idx="126">
                  <c:v>91.854871104406399</c:v>
                </c:pt>
                <c:pt idx="127">
                  <c:v>96.15374378994558</c:v>
                </c:pt>
                <c:pt idx="128">
                  <c:v>77.763443935500732</c:v>
                </c:pt>
                <c:pt idx="129">
                  <c:v>115.68420163165695</c:v>
                </c:pt>
                <c:pt idx="130">
                  <c:v>127.33300660799742</c:v>
                </c:pt>
                <c:pt idx="131">
                  <c:v>106.42404516064457</c:v>
                </c:pt>
                <c:pt idx="132">
                  <c:v>152.33230860935487</c:v>
                </c:pt>
                <c:pt idx="133">
                  <c:v>102.63201501897588</c:v>
                </c:pt>
                <c:pt idx="134">
                  <c:v>130.06306536835706</c:v>
                </c:pt>
                <c:pt idx="135">
                  <c:v>83.781318513865287</c:v>
                </c:pt>
                <c:pt idx="136">
                  <c:v>126.47593190394106</c:v>
                </c:pt>
                <c:pt idx="137">
                  <c:v>130.20337445562936</c:v>
                </c:pt>
                <c:pt idx="138">
                  <c:v>153.22184022206392</c:v>
                </c:pt>
                <c:pt idx="139">
                  <c:v>82.935592837293115</c:v>
                </c:pt>
                <c:pt idx="140">
                  <c:v>98.585600454989304</c:v>
                </c:pt>
                <c:pt idx="141">
                  <c:v>103.13024135656551</c:v>
                </c:pt>
                <c:pt idx="142">
                  <c:v>75.058562238900734</c:v>
                </c:pt>
                <c:pt idx="143">
                  <c:v>117.23579984833654</c:v>
                </c:pt>
                <c:pt idx="144">
                  <c:v>145.25188442817137</c:v>
                </c:pt>
                <c:pt idx="145">
                  <c:v>65.943166564789962</c:v>
                </c:pt>
                <c:pt idx="146">
                  <c:v>149.71995148720117</c:v>
                </c:pt>
                <c:pt idx="147">
                  <c:v>85.549779248761112</c:v>
                </c:pt>
                <c:pt idx="148">
                  <c:v>129.00396870015456</c:v>
                </c:pt>
                <c:pt idx="149">
                  <c:v>110.96363640101411</c:v>
                </c:pt>
                <c:pt idx="150">
                  <c:v>66.255083356872476</c:v>
                </c:pt>
                <c:pt idx="151">
                  <c:v>98.745391893013704</c:v>
                </c:pt>
                <c:pt idx="152">
                  <c:v>98.375051043838539</c:v>
                </c:pt>
                <c:pt idx="153">
                  <c:v>86.804754705776404</c:v>
                </c:pt>
                <c:pt idx="154">
                  <c:v>126.43709743390629</c:v>
                </c:pt>
                <c:pt idx="155">
                  <c:v>123.54763335388567</c:v>
                </c:pt>
                <c:pt idx="156">
                  <c:v>181.75274964099546</c:v>
                </c:pt>
                <c:pt idx="157">
                  <c:v>110.8978064819305</c:v>
                </c:pt>
                <c:pt idx="158">
                  <c:v>114.40621272684022</c:v>
                </c:pt>
                <c:pt idx="159">
                  <c:v>145.53690236031471</c:v>
                </c:pt>
                <c:pt idx="160">
                  <c:v>89.247274670102797</c:v>
                </c:pt>
                <c:pt idx="161">
                  <c:v>144.65791899358558</c:v>
                </c:pt>
                <c:pt idx="162">
                  <c:v>98.194779217845038</c:v>
                </c:pt>
                <c:pt idx="163">
                  <c:v>125.56094234104319</c:v>
                </c:pt>
                <c:pt idx="164">
                  <c:v>115.49357948075421</c:v>
                </c:pt>
                <c:pt idx="165">
                  <c:v>102.98218813891174</c:v>
                </c:pt>
                <c:pt idx="166">
                  <c:v>114.15959392299219</c:v>
                </c:pt>
                <c:pt idx="167">
                  <c:v>72.675502795997332</c:v>
                </c:pt>
                <c:pt idx="168">
                  <c:v>89.763787360545891</c:v>
                </c:pt>
                <c:pt idx="169">
                  <c:v>105.33690477564726</c:v>
                </c:pt>
                <c:pt idx="170">
                  <c:v>110.83102908544832</c:v>
                </c:pt>
                <c:pt idx="171">
                  <c:v>105.01528870973591</c:v>
                </c:pt>
                <c:pt idx="172">
                  <c:v>111.49544097839591</c:v>
                </c:pt>
                <c:pt idx="173">
                  <c:v>86.024058069532543</c:v>
                </c:pt>
                <c:pt idx="174">
                  <c:v>81.298386835996737</c:v>
                </c:pt>
                <c:pt idx="175">
                  <c:v>65.803672715864437</c:v>
                </c:pt>
                <c:pt idx="176">
                  <c:v>71.695283013659321</c:v>
                </c:pt>
                <c:pt idx="177">
                  <c:v>74.988224028727046</c:v>
                </c:pt>
                <c:pt idx="178">
                  <c:v>126.61901532092573</c:v>
                </c:pt>
                <c:pt idx="179">
                  <c:v>86.47501912558532</c:v>
                </c:pt>
                <c:pt idx="180">
                  <c:v>116.39605104490197</c:v>
                </c:pt>
                <c:pt idx="181">
                  <c:v>113.58084634427382</c:v>
                </c:pt>
                <c:pt idx="182">
                  <c:v>76.497188128355731</c:v>
                </c:pt>
                <c:pt idx="183">
                  <c:v>85.699395503519781</c:v>
                </c:pt>
                <c:pt idx="184">
                  <c:v>83.324203312533598</c:v>
                </c:pt>
                <c:pt idx="185">
                  <c:v>87.014796295382325</c:v>
                </c:pt>
                <c:pt idx="186">
                  <c:v>62.690102067364997</c:v>
                </c:pt>
                <c:pt idx="187">
                  <c:v>130.58323271816843</c:v>
                </c:pt>
                <c:pt idx="188">
                  <c:v>76.12366462772296</c:v>
                </c:pt>
                <c:pt idx="189">
                  <c:v>79.7490826046661</c:v>
                </c:pt>
                <c:pt idx="190">
                  <c:v>87.295052565793142</c:v>
                </c:pt>
                <c:pt idx="191">
                  <c:v>139.79381290158443</c:v>
                </c:pt>
                <c:pt idx="192">
                  <c:v>119.92691587085395</c:v>
                </c:pt>
                <c:pt idx="193">
                  <c:v>124.27443609580192</c:v>
                </c:pt>
                <c:pt idx="194">
                  <c:v>84.511548588032255</c:v>
                </c:pt>
                <c:pt idx="195">
                  <c:v>83.11537311204529</c:v>
                </c:pt>
                <c:pt idx="196">
                  <c:v>83.343549353715872</c:v>
                </c:pt>
                <c:pt idx="197">
                  <c:v>82.995609336556527</c:v>
                </c:pt>
                <c:pt idx="198">
                  <c:v>89.248156449724164</c:v>
                </c:pt>
                <c:pt idx="199">
                  <c:v>73.174758143431404</c:v>
                </c:pt>
                <c:pt idx="200">
                  <c:v>125.95851806628029</c:v>
                </c:pt>
                <c:pt idx="201">
                  <c:v>92.489748699922728</c:v>
                </c:pt>
                <c:pt idx="202">
                  <c:v>142.878283142729</c:v>
                </c:pt>
                <c:pt idx="203">
                  <c:v>100.62090478275854</c:v>
                </c:pt>
                <c:pt idx="204">
                  <c:v>92.783190848179302</c:v>
                </c:pt>
                <c:pt idx="205">
                  <c:v>87.721724449293845</c:v>
                </c:pt>
                <c:pt idx="206">
                  <c:v>83.594586802925278</c:v>
                </c:pt>
                <c:pt idx="207">
                  <c:v>111.50705579854603</c:v>
                </c:pt>
                <c:pt idx="208">
                  <c:v>117.40037679100739</c:v>
                </c:pt>
                <c:pt idx="209">
                  <c:v>114.93458817055944</c:v>
                </c:pt>
                <c:pt idx="210">
                  <c:v>103.79998593921698</c:v>
                </c:pt>
                <c:pt idx="211">
                  <c:v>94.085735312721823</c:v>
                </c:pt>
                <c:pt idx="212">
                  <c:v>114.91418843743128</c:v>
                </c:pt>
                <c:pt idx="213">
                  <c:v>114.51646037261716</c:v>
                </c:pt>
                <c:pt idx="214">
                  <c:v>115.88112883208068</c:v>
                </c:pt>
                <c:pt idx="215">
                  <c:v>92.437489031963167</c:v>
                </c:pt>
                <c:pt idx="216">
                  <c:v>119.10855085886368</c:v>
                </c:pt>
                <c:pt idx="217">
                  <c:v>144.0559137310068</c:v>
                </c:pt>
                <c:pt idx="218">
                  <c:v>97.116014219018922</c:v>
                </c:pt>
                <c:pt idx="219">
                  <c:v>88.364654396994112</c:v>
                </c:pt>
                <c:pt idx="220">
                  <c:v>108.47966048710862</c:v>
                </c:pt>
                <c:pt idx="221">
                  <c:v>107.21217902595343</c:v>
                </c:pt>
                <c:pt idx="222">
                  <c:v>101.78771103425474</c:v>
                </c:pt>
                <c:pt idx="223">
                  <c:v>92.508497149060958</c:v>
                </c:pt>
                <c:pt idx="224">
                  <c:v>74.749909601751853</c:v>
                </c:pt>
                <c:pt idx="225">
                  <c:v>86.994316643170876</c:v>
                </c:pt>
                <c:pt idx="226">
                  <c:v>87.6630360255798</c:v>
                </c:pt>
                <c:pt idx="227">
                  <c:v>78.895498812606803</c:v>
                </c:pt>
                <c:pt idx="228">
                  <c:v>117.47698030536905</c:v>
                </c:pt>
                <c:pt idx="229">
                  <c:v>102.77916629158506</c:v>
                </c:pt>
                <c:pt idx="230">
                  <c:v>120.7360174986094</c:v>
                </c:pt>
                <c:pt idx="231">
                  <c:v>82.253334192584475</c:v>
                </c:pt>
                <c:pt idx="232">
                  <c:v>96.817965989461882</c:v>
                </c:pt>
                <c:pt idx="233">
                  <c:v>78.665066810877619</c:v>
                </c:pt>
                <c:pt idx="234">
                  <c:v>91.323623403173968</c:v>
                </c:pt>
                <c:pt idx="235">
                  <c:v>149.87293147484453</c:v>
                </c:pt>
                <c:pt idx="236">
                  <c:v>81.989871046456713</c:v>
                </c:pt>
                <c:pt idx="237">
                  <c:v>103.9387824318854</c:v>
                </c:pt>
                <c:pt idx="238">
                  <c:v>96.685715102285641</c:v>
                </c:pt>
                <c:pt idx="239">
                  <c:v>124.12891355499004</c:v>
                </c:pt>
                <c:pt idx="240">
                  <c:v>115.28309472694943</c:v>
                </c:pt>
                <c:pt idx="241">
                  <c:v>109.94217789253469</c:v>
                </c:pt>
                <c:pt idx="242">
                  <c:v>80.265855450795058</c:v>
                </c:pt>
                <c:pt idx="243">
                  <c:v>119.76908366565581</c:v>
                </c:pt>
                <c:pt idx="244">
                  <c:v>113.3576164732235</c:v>
                </c:pt>
                <c:pt idx="245">
                  <c:v>142.84740258275656</c:v>
                </c:pt>
                <c:pt idx="246">
                  <c:v>112.24066098322523</c:v>
                </c:pt>
                <c:pt idx="247">
                  <c:v>129.90300627352951</c:v>
                </c:pt>
                <c:pt idx="248">
                  <c:v>125.76019067785516</c:v>
                </c:pt>
                <c:pt idx="249">
                  <c:v>139.88279903507981</c:v>
                </c:pt>
                <c:pt idx="250">
                  <c:v>112.33838281949328</c:v>
                </c:pt>
                <c:pt idx="251">
                  <c:v>97.522037914410944</c:v>
                </c:pt>
                <c:pt idx="252">
                  <c:v>93.91484231364538</c:v>
                </c:pt>
                <c:pt idx="253">
                  <c:v>115.22198339463893</c:v>
                </c:pt>
                <c:pt idx="254">
                  <c:v>148.55369016427031</c:v>
                </c:pt>
                <c:pt idx="255">
                  <c:v>57.316358085604044</c:v>
                </c:pt>
                <c:pt idx="256">
                  <c:v>116.25924311795325</c:v>
                </c:pt>
                <c:pt idx="257">
                  <c:v>73.21645783465884</c:v>
                </c:pt>
                <c:pt idx="258">
                  <c:v>125.33835427393326</c:v>
                </c:pt>
                <c:pt idx="259">
                  <c:v>94.406831618048741</c:v>
                </c:pt>
                <c:pt idx="260">
                  <c:v>131.55439244676677</c:v>
                </c:pt>
                <c:pt idx="261">
                  <c:v>131.15322042185321</c:v>
                </c:pt>
                <c:pt idx="262">
                  <c:v>90.364203277817992</c:v>
                </c:pt>
                <c:pt idx="263">
                  <c:v>122.96512772318188</c:v>
                </c:pt>
                <c:pt idx="264">
                  <c:v>83.802906964067986</c:v>
                </c:pt>
                <c:pt idx="265">
                  <c:v>93.724741723621207</c:v>
                </c:pt>
                <c:pt idx="266">
                  <c:v>66.139256296783998</c:v>
                </c:pt>
                <c:pt idx="267">
                  <c:v>82.060428293622763</c:v>
                </c:pt>
                <c:pt idx="268">
                  <c:v>82.725573926149764</c:v>
                </c:pt>
                <c:pt idx="269">
                  <c:v>120.53348326135433</c:v>
                </c:pt>
                <c:pt idx="270">
                  <c:v>100.84682086622809</c:v>
                </c:pt>
                <c:pt idx="271">
                  <c:v>113.98751565568779</c:v>
                </c:pt>
                <c:pt idx="272">
                  <c:v>104.19546148256939</c:v>
                </c:pt>
                <c:pt idx="273">
                  <c:v>80.56303998198905</c:v>
                </c:pt>
                <c:pt idx="274">
                  <c:v>91.064239704622679</c:v>
                </c:pt>
                <c:pt idx="275">
                  <c:v>125.07759631834277</c:v>
                </c:pt>
                <c:pt idx="276">
                  <c:v>126.65309516949328</c:v>
                </c:pt>
                <c:pt idx="277">
                  <c:v>75.054293958703909</c:v>
                </c:pt>
                <c:pt idx="278">
                  <c:v>83.903315822832354</c:v>
                </c:pt>
                <c:pt idx="279">
                  <c:v>120.94057386265477</c:v>
                </c:pt>
                <c:pt idx="280">
                  <c:v>86.497021245577997</c:v>
                </c:pt>
                <c:pt idx="281">
                  <c:v>92.937361484661309</c:v>
                </c:pt>
                <c:pt idx="282">
                  <c:v>91.556961489221692</c:v>
                </c:pt>
                <c:pt idx="283">
                  <c:v>98.302545049031821</c:v>
                </c:pt>
                <c:pt idx="284">
                  <c:v>78.621727231652187</c:v>
                </c:pt>
                <c:pt idx="285">
                  <c:v>98.859772343632088</c:v>
                </c:pt>
                <c:pt idx="286">
                  <c:v>107.5220543928336</c:v>
                </c:pt>
                <c:pt idx="287">
                  <c:v>117.92418071751537</c:v>
                </c:pt>
                <c:pt idx="288">
                  <c:v>76.068597144436126</c:v>
                </c:pt>
                <c:pt idx="289">
                  <c:v>91.727604289689779</c:v>
                </c:pt>
                <c:pt idx="290">
                  <c:v>132.4819923758503</c:v>
                </c:pt>
                <c:pt idx="291">
                  <c:v>65.749787924848164</c:v>
                </c:pt>
                <c:pt idx="292">
                  <c:v>110.18701668511966</c:v>
                </c:pt>
                <c:pt idx="293">
                  <c:v>120.61284549818846</c:v>
                </c:pt>
                <c:pt idx="294">
                  <c:v>129.8430248627956</c:v>
                </c:pt>
                <c:pt idx="295">
                  <c:v>115.64790351452841</c:v>
                </c:pt>
                <c:pt idx="296">
                  <c:v>112.26393497270618</c:v>
                </c:pt>
                <c:pt idx="297">
                  <c:v>71.90556323383737</c:v>
                </c:pt>
                <c:pt idx="298">
                  <c:v>91.867424046575962</c:v>
                </c:pt>
                <c:pt idx="299">
                  <c:v>146.21749382118722</c:v>
                </c:pt>
                <c:pt idx="300">
                  <c:v>91.892538837223583</c:v>
                </c:pt>
                <c:pt idx="301">
                  <c:v>80.275008080630712</c:v>
                </c:pt>
                <c:pt idx="302">
                  <c:v>97.510029866088317</c:v>
                </c:pt>
                <c:pt idx="303">
                  <c:v>84.549616856666276</c:v>
                </c:pt>
                <c:pt idx="304">
                  <c:v>197.9920548515471</c:v>
                </c:pt>
                <c:pt idx="305">
                  <c:v>125.33365229253067</c:v>
                </c:pt>
                <c:pt idx="306">
                  <c:v>82.999711105358728</c:v>
                </c:pt>
                <c:pt idx="307">
                  <c:v>97.441329111780988</c:v>
                </c:pt>
                <c:pt idx="308">
                  <c:v>83.977467903374489</c:v>
                </c:pt>
                <c:pt idx="309">
                  <c:v>100.74705797703072</c:v>
                </c:pt>
                <c:pt idx="310">
                  <c:v>101.79526692208297</c:v>
                </c:pt>
                <c:pt idx="311">
                  <c:v>86.002278315381901</c:v>
                </c:pt>
                <c:pt idx="312">
                  <c:v>71.354165205376574</c:v>
                </c:pt>
                <c:pt idx="313">
                  <c:v>126.78230469991867</c:v>
                </c:pt>
                <c:pt idx="314">
                  <c:v>113.78395182041422</c:v>
                </c:pt>
                <c:pt idx="315">
                  <c:v>112.93629061815973</c:v>
                </c:pt>
                <c:pt idx="316">
                  <c:v>105.83432020820206</c:v>
                </c:pt>
                <c:pt idx="317">
                  <c:v>111.76281530942794</c:v>
                </c:pt>
                <c:pt idx="318">
                  <c:v>105.77833143507196</c:v>
                </c:pt>
                <c:pt idx="319">
                  <c:v>94.415008563346433</c:v>
                </c:pt>
                <c:pt idx="320">
                  <c:v>102.64836791452244</c:v>
                </c:pt>
                <c:pt idx="321">
                  <c:v>70.096986194953701</c:v>
                </c:pt>
                <c:pt idx="322">
                  <c:v>122.05489850575557</c:v>
                </c:pt>
                <c:pt idx="323">
                  <c:v>106.9436234519567</c:v>
                </c:pt>
                <c:pt idx="324">
                  <c:v>68.681702813040076</c:v>
                </c:pt>
                <c:pt idx="325">
                  <c:v>106.6555299046538</c:v>
                </c:pt>
                <c:pt idx="326">
                  <c:v>118.13339312447479</c:v>
                </c:pt>
                <c:pt idx="327">
                  <c:v>111.47223172547078</c:v>
                </c:pt>
                <c:pt idx="328">
                  <c:v>78.241383528427704</c:v>
                </c:pt>
                <c:pt idx="329">
                  <c:v>129.1994103414834</c:v>
                </c:pt>
                <c:pt idx="330">
                  <c:v>100.14254695089029</c:v>
                </c:pt>
                <c:pt idx="331">
                  <c:v>101.73447314609142</c:v>
                </c:pt>
                <c:pt idx="332">
                  <c:v>76.159822863792513</c:v>
                </c:pt>
                <c:pt idx="333">
                  <c:v>67.75739368795891</c:v>
                </c:pt>
                <c:pt idx="334">
                  <c:v>108.97213804183303</c:v>
                </c:pt>
                <c:pt idx="335">
                  <c:v>113.23857255938728</c:v>
                </c:pt>
                <c:pt idx="336">
                  <c:v>131.84084503945999</c:v>
                </c:pt>
                <c:pt idx="337">
                  <c:v>74.533421718346091</c:v>
                </c:pt>
                <c:pt idx="338">
                  <c:v>127.02092792014909</c:v>
                </c:pt>
                <c:pt idx="339">
                  <c:v>69.200908925094836</c:v>
                </c:pt>
                <c:pt idx="340">
                  <c:v>111.88340618172901</c:v>
                </c:pt>
                <c:pt idx="341">
                  <c:v>127.87293266205161</c:v>
                </c:pt>
                <c:pt idx="342">
                  <c:v>130.48861208820747</c:v>
                </c:pt>
                <c:pt idx="343">
                  <c:v>120.27671381305765</c:v>
                </c:pt>
                <c:pt idx="344">
                  <c:v>108.13297520491511</c:v>
                </c:pt>
                <c:pt idx="345">
                  <c:v>115.21488911333481</c:v>
                </c:pt>
                <c:pt idx="346">
                  <c:v>126.25506614162296</c:v>
                </c:pt>
                <c:pt idx="347">
                  <c:v>108.3778844874919</c:v>
                </c:pt>
                <c:pt idx="348">
                  <c:v>110.3337951578077</c:v>
                </c:pt>
                <c:pt idx="349">
                  <c:v>80.359315072405437</c:v>
                </c:pt>
                <c:pt idx="350">
                  <c:v>76.64587099595775</c:v>
                </c:pt>
                <c:pt idx="351">
                  <c:v>116.78973850599064</c:v>
                </c:pt>
                <c:pt idx="352">
                  <c:v>96.132033257028212</c:v>
                </c:pt>
                <c:pt idx="353">
                  <c:v>99.361271767352036</c:v>
                </c:pt>
                <c:pt idx="354">
                  <c:v>116.6190411188697</c:v>
                </c:pt>
                <c:pt idx="355">
                  <c:v>109.18307696917331</c:v>
                </c:pt>
                <c:pt idx="356">
                  <c:v>80.995274003684685</c:v>
                </c:pt>
                <c:pt idx="357">
                  <c:v>128.41446014903818</c:v>
                </c:pt>
                <c:pt idx="358">
                  <c:v>97.77901191633039</c:v>
                </c:pt>
                <c:pt idx="359">
                  <c:v>101.93734497864412</c:v>
                </c:pt>
                <c:pt idx="360">
                  <c:v>86.971153133070615</c:v>
                </c:pt>
                <c:pt idx="361">
                  <c:v>99.892548895059377</c:v>
                </c:pt>
                <c:pt idx="362">
                  <c:v>93.515443082422763</c:v>
                </c:pt>
                <c:pt idx="363">
                  <c:v>151.50921393706318</c:v>
                </c:pt>
                <c:pt idx="364">
                  <c:v>94.099018695229105</c:v>
                </c:pt>
                <c:pt idx="365">
                  <c:v>126.78439876579735</c:v>
                </c:pt>
                <c:pt idx="366">
                  <c:v>89.18842884244215</c:v>
                </c:pt>
                <c:pt idx="367">
                  <c:v>79.592696211811415</c:v>
                </c:pt>
                <c:pt idx="368">
                  <c:v>102.18765425186722</c:v>
                </c:pt>
                <c:pt idx="369">
                  <c:v>86.669575583092524</c:v>
                </c:pt>
                <c:pt idx="370">
                  <c:v>98.094427788220784</c:v>
                </c:pt>
                <c:pt idx="371">
                  <c:v>104.5511474279176</c:v>
                </c:pt>
                <c:pt idx="372">
                  <c:v>121.44908183484549</c:v>
                </c:pt>
                <c:pt idx="373">
                  <c:v>95.619441808312629</c:v>
                </c:pt>
                <c:pt idx="374">
                  <c:v>93.146103999848066</c:v>
                </c:pt>
                <c:pt idx="375">
                  <c:v>98.308438299282585</c:v>
                </c:pt>
                <c:pt idx="376">
                  <c:v>74.769565317277426</c:v>
                </c:pt>
                <c:pt idx="377">
                  <c:v>96.352425997007032</c:v>
                </c:pt>
                <c:pt idx="378">
                  <c:v>89.677270750345087</c:v>
                </c:pt>
                <c:pt idx="379">
                  <c:v>115.38699924577033</c:v>
                </c:pt>
                <c:pt idx="380">
                  <c:v>123.95741019409579</c:v>
                </c:pt>
                <c:pt idx="381">
                  <c:v>113.8253262329128</c:v>
                </c:pt>
                <c:pt idx="382">
                  <c:v>129.42403047056092</c:v>
                </c:pt>
                <c:pt idx="383">
                  <c:v>95.220020522806948</c:v>
                </c:pt>
                <c:pt idx="384">
                  <c:v>93.858159038329376</c:v>
                </c:pt>
                <c:pt idx="385">
                  <c:v>100.43441951184974</c:v>
                </c:pt>
                <c:pt idx="386">
                  <c:v>72.385542406834759</c:v>
                </c:pt>
                <c:pt idx="387">
                  <c:v>84.447423245447013</c:v>
                </c:pt>
                <c:pt idx="388">
                  <c:v>98.825856118279319</c:v>
                </c:pt>
                <c:pt idx="389">
                  <c:v>129.03484073170645</c:v>
                </c:pt>
                <c:pt idx="390">
                  <c:v>119.03427111290488</c:v>
                </c:pt>
                <c:pt idx="391">
                  <c:v>146.02345452955663</c:v>
                </c:pt>
                <c:pt idx="392">
                  <c:v>106.3876064447641</c:v>
                </c:pt>
                <c:pt idx="393">
                  <c:v>97.922836989206317</c:v>
                </c:pt>
                <c:pt idx="394">
                  <c:v>136.1744513423647</c:v>
                </c:pt>
                <c:pt idx="395">
                  <c:v>158.95441315928903</c:v>
                </c:pt>
                <c:pt idx="396">
                  <c:v>93.98944776660916</c:v>
                </c:pt>
                <c:pt idx="397">
                  <c:v>119.52653837506034</c:v>
                </c:pt>
                <c:pt idx="398">
                  <c:v>187.4169680374338</c:v>
                </c:pt>
                <c:pt idx="399">
                  <c:v>114.81623278993095</c:v>
                </c:pt>
                <c:pt idx="400">
                  <c:v>89.864903481779905</c:v>
                </c:pt>
                <c:pt idx="401">
                  <c:v>120.27892043383287</c:v>
                </c:pt>
                <c:pt idx="402">
                  <c:v>104.0932777504451</c:v>
                </c:pt>
                <c:pt idx="403">
                  <c:v>137.14938342006681</c:v>
                </c:pt>
                <c:pt idx="404">
                  <c:v>103.87530339398779</c:v>
                </c:pt>
                <c:pt idx="405">
                  <c:v>121.00709783959411</c:v>
                </c:pt>
                <c:pt idx="406">
                  <c:v>94.613800981928335</c:v>
                </c:pt>
                <c:pt idx="407">
                  <c:v>90.269777921457248</c:v>
                </c:pt>
                <c:pt idx="408">
                  <c:v>110.47002404987205</c:v>
                </c:pt>
                <c:pt idx="409">
                  <c:v>99.906548629291009</c:v>
                </c:pt>
                <c:pt idx="410">
                  <c:v>97.331783738488539</c:v>
                </c:pt>
                <c:pt idx="411">
                  <c:v>104.3633998554977</c:v>
                </c:pt>
                <c:pt idx="412">
                  <c:v>116.57022941106869</c:v>
                </c:pt>
                <c:pt idx="413">
                  <c:v>94.389909261325201</c:v>
                </c:pt>
                <c:pt idx="414">
                  <c:v>122.86158984934659</c:v>
                </c:pt>
                <c:pt idx="415">
                  <c:v>117.50385451913985</c:v>
                </c:pt>
                <c:pt idx="416">
                  <c:v>101.53369315371042</c:v>
                </c:pt>
                <c:pt idx="417">
                  <c:v>90.009585204235918</c:v>
                </c:pt>
                <c:pt idx="418">
                  <c:v>85.387761539487897</c:v>
                </c:pt>
                <c:pt idx="419">
                  <c:v>117.78291376002541</c:v>
                </c:pt>
                <c:pt idx="420">
                  <c:v>92.395038269944877</c:v>
                </c:pt>
                <c:pt idx="421">
                  <c:v>132.69933566840433</c:v>
                </c:pt>
                <c:pt idx="422">
                  <c:v>98.239218345506501</c:v>
                </c:pt>
                <c:pt idx="423">
                  <c:v>105.7025662059752</c:v>
                </c:pt>
                <c:pt idx="424">
                  <c:v>81.504609222339155</c:v>
                </c:pt>
                <c:pt idx="425">
                  <c:v>87.456801870804753</c:v>
                </c:pt>
                <c:pt idx="426">
                  <c:v>94.308666494188515</c:v>
                </c:pt>
                <c:pt idx="427">
                  <c:v>77.350432601128759</c:v>
                </c:pt>
                <c:pt idx="428">
                  <c:v>112.51702727712915</c:v>
                </c:pt>
                <c:pt idx="429">
                  <c:v>100.10251205856238</c:v>
                </c:pt>
                <c:pt idx="430">
                  <c:v>82.296864608952561</c:v>
                </c:pt>
                <c:pt idx="431">
                  <c:v>132.45950564944374</c:v>
                </c:pt>
                <c:pt idx="432">
                  <c:v>90.018274699387916</c:v>
                </c:pt>
                <c:pt idx="433">
                  <c:v>76.421705470399772</c:v>
                </c:pt>
                <c:pt idx="434">
                  <c:v>89.374076490901061</c:v>
                </c:pt>
                <c:pt idx="435">
                  <c:v>103.85925774825027</c:v>
                </c:pt>
                <c:pt idx="436">
                  <c:v>80.88216862798221</c:v>
                </c:pt>
                <c:pt idx="437">
                  <c:v>119.44010402505428</c:v>
                </c:pt>
                <c:pt idx="438">
                  <c:v>134.59669271326348</c:v>
                </c:pt>
                <c:pt idx="439">
                  <c:v>92.180266951278412</c:v>
                </c:pt>
                <c:pt idx="440">
                  <c:v>105.76736983193085</c:v>
                </c:pt>
                <c:pt idx="441">
                  <c:v>104.47447424263699</c:v>
                </c:pt>
                <c:pt idx="442">
                  <c:v>80.930486018647173</c:v>
                </c:pt>
                <c:pt idx="443">
                  <c:v>110.07785431382061</c:v>
                </c:pt>
                <c:pt idx="444">
                  <c:v>109.14225648208705</c:v>
                </c:pt>
                <c:pt idx="445">
                  <c:v>113.52590483066326</c:v>
                </c:pt>
                <c:pt idx="446">
                  <c:v>137.8291408209063</c:v>
                </c:pt>
                <c:pt idx="447">
                  <c:v>102.67598346672698</c:v>
                </c:pt>
                <c:pt idx="448">
                  <c:v>89.652426093022967</c:v>
                </c:pt>
                <c:pt idx="449">
                  <c:v>166.38729493755821</c:v>
                </c:pt>
                <c:pt idx="450">
                  <c:v>82.457889413052641</c:v>
                </c:pt>
                <c:pt idx="451">
                  <c:v>124.22163192092056</c:v>
                </c:pt>
                <c:pt idx="452">
                  <c:v>84.900142988521509</c:v>
                </c:pt>
                <c:pt idx="453">
                  <c:v>130.51362707440228</c:v>
                </c:pt>
                <c:pt idx="454">
                  <c:v>98.010943929828329</c:v>
                </c:pt>
                <c:pt idx="455">
                  <c:v>115.37708287228217</c:v>
                </c:pt>
                <c:pt idx="456">
                  <c:v>124.89153635195322</c:v>
                </c:pt>
                <c:pt idx="457">
                  <c:v>140.96242201948988</c:v>
                </c:pt>
                <c:pt idx="458">
                  <c:v>84.140681592028855</c:v>
                </c:pt>
                <c:pt idx="459">
                  <c:v>131.77932123431458</c:v>
                </c:pt>
                <c:pt idx="460">
                  <c:v>124.14438657659029</c:v>
                </c:pt>
                <c:pt idx="461">
                  <c:v>105.82625076502724</c:v>
                </c:pt>
                <c:pt idx="462">
                  <c:v>93.049874220213084</c:v>
                </c:pt>
                <c:pt idx="463">
                  <c:v>100.08327557581526</c:v>
                </c:pt>
                <c:pt idx="464">
                  <c:v>99.798619088216796</c:v>
                </c:pt>
                <c:pt idx="465">
                  <c:v>86.645991187046647</c:v>
                </c:pt>
                <c:pt idx="466">
                  <c:v>89.042286575050014</c:v>
                </c:pt>
                <c:pt idx="467">
                  <c:v>86.553059530580768</c:v>
                </c:pt>
                <c:pt idx="468">
                  <c:v>106.16308986918777</c:v>
                </c:pt>
                <c:pt idx="469">
                  <c:v>87.560888752025022</c:v>
                </c:pt>
                <c:pt idx="470">
                  <c:v>112.62635184177327</c:v>
                </c:pt>
                <c:pt idx="471">
                  <c:v>131.80309386711707</c:v>
                </c:pt>
                <c:pt idx="472">
                  <c:v>80.326899143061041</c:v>
                </c:pt>
                <c:pt idx="473">
                  <c:v>154.346091667667</c:v>
                </c:pt>
                <c:pt idx="474">
                  <c:v>87.05901131149696</c:v>
                </c:pt>
                <c:pt idx="475">
                  <c:v>99.05801776072569</c:v>
                </c:pt>
                <c:pt idx="476">
                  <c:v>94.177259866595477</c:v>
                </c:pt>
                <c:pt idx="477">
                  <c:v>108.3576790793104</c:v>
                </c:pt>
                <c:pt idx="478">
                  <c:v>86.258694491190298</c:v>
                </c:pt>
                <c:pt idx="479">
                  <c:v>122.26644356620659</c:v>
                </c:pt>
                <c:pt idx="480">
                  <c:v>99.627077807780381</c:v>
                </c:pt>
                <c:pt idx="481">
                  <c:v>111.74926473465935</c:v>
                </c:pt>
                <c:pt idx="482">
                  <c:v>106.43154878220032</c:v>
                </c:pt>
                <c:pt idx="483">
                  <c:v>99.926976243230797</c:v>
                </c:pt>
                <c:pt idx="484">
                  <c:v>100.64424884595833</c:v>
                </c:pt>
                <c:pt idx="485">
                  <c:v>87.358662518598521</c:v>
                </c:pt>
                <c:pt idx="486">
                  <c:v>104.27024457810073</c:v>
                </c:pt>
                <c:pt idx="487">
                  <c:v>104.23750530175795</c:v>
                </c:pt>
                <c:pt idx="488">
                  <c:v>112.83021648315506</c:v>
                </c:pt>
                <c:pt idx="489">
                  <c:v>80.886855309997145</c:v>
                </c:pt>
                <c:pt idx="490">
                  <c:v>162.45077166122351</c:v>
                </c:pt>
                <c:pt idx="491">
                  <c:v>83.160219495048537</c:v>
                </c:pt>
                <c:pt idx="492">
                  <c:v>114.20638674847879</c:v>
                </c:pt>
                <c:pt idx="493">
                  <c:v>120.04871449318519</c:v>
                </c:pt>
                <c:pt idx="494">
                  <c:v>86.086277559386076</c:v>
                </c:pt>
                <c:pt idx="495">
                  <c:v>148.20368794145116</c:v>
                </c:pt>
                <c:pt idx="496">
                  <c:v>99.526545007003222</c:v>
                </c:pt>
                <c:pt idx="497">
                  <c:v>91.326760259815885</c:v>
                </c:pt>
                <c:pt idx="498">
                  <c:v>121.62274547118757</c:v>
                </c:pt>
                <c:pt idx="499">
                  <c:v>133.33089200759491</c:v>
                </c:pt>
                <c:pt idx="500">
                  <c:v>93.261591947238585</c:v>
                </c:pt>
                <c:pt idx="501">
                  <c:v>88.804693024381919</c:v>
                </c:pt>
                <c:pt idx="502">
                  <c:v>142.33739934621283</c:v>
                </c:pt>
                <c:pt idx="503">
                  <c:v>89.595620354677209</c:v>
                </c:pt>
                <c:pt idx="504">
                  <c:v>74.125365703681453</c:v>
                </c:pt>
                <c:pt idx="505">
                  <c:v>75.720480560399849</c:v>
                </c:pt>
                <c:pt idx="506">
                  <c:v>96.607440140429489</c:v>
                </c:pt>
                <c:pt idx="507">
                  <c:v>115.40715896431315</c:v>
                </c:pt>
                <c:pt idx="508">
                  <c:v>101.63761216434634</c:v>
                </c:pt>
                <c:pt idx="509">
                  <c:v>138.59090737325289</c:v>
                </c:pt>
                <c:pt idx="510">
                  <c:v>73.283950292111697</c:v>
                </c:pt>
                <c:pt idx="511">
                  <c:v>78.886905830486526</c:v>
                </c:pt>
                <c:pt idx="512">
                  <c:v>125.45343803676808</c:v>
                </c:pt>
                <c:pt idx="513">
                  <c:v>94.77931984081475</c:v>
                </c:pt>
                <c:pt idx="514">
                  <c:v>115.43268151329062</c:v>
                </c:pt>
                <c:pt idx="515">
                  <c:v>81.627643168471081</c:v>
                </c:pt>
                <c:pt idx="516">
                  <c:v>74.387368028685884</c:v>
                </c:pt>
                <c:pt idx="517">
                  <c:v>116.83795949399712</c:v>
                </c:pt>
                <c:pt idx="518">
                  <c:v>114.91454988449601</c:v>
                </c:pt>
                <c:pt idx="519">
                  <c:v>108.73205661811747</c:v>
                </c:pt>
                <c:pt idx="520">
                  <c:v>68.395466597900906</c:v>
                </c:pt>
                <c:pt idx="521">
                  <c:v>84.380433360452301</c:v>
                </c:pt>
                <c:pt idx="522">
                  <c:v>79.234542951554701</c:v>
                </c:pt>
                <c:pt idx="523">
                  <c:v>107.72478731880574</c:v>
                </c:pt>
                <c:pt idx="524">
                  <c:v>137.16140950722283</c:v>
                </c:pt>
                <c:pt idx="525">
                  <c:v>77.139399381721375</c:v>
                </c:pt>
                <c:pt idx="526">
                  <c:v>98.80573259344871</c:v>
                </c:pt>
                <c:pt idx="527">
                  <c:v>115.94938925092485</c:v>
                </c:pt>
                <c:pt idx="528">
                  <c:v>89.813144722501818</c:v>
                </c:pt>
                <c:pt idx="529">
                  <c:v>136.64803572827645</c:v>
                </c:pt>
                <c:pt idx="530">
                  <c:v>90.075885548879256</c:v>
                </c:pt>
                <c:pt idx="531">
                  <c:v>120.98906135488292</c:v>
                </c:pt>
                <c:pt idx="532">
                  <c:v>112.79061676623499</c:v>
                </c:pt>
                <c:pt idx="533">
                  <c:v>95.406760754473879</c:v>
                </c:pt>
                <c:pt idx="534">
                  <c:v>100.27193481831335</c:v>
                </c:pt>
                <c:pt idx="535">
                  <c:v>104.96755068624711</c:v>
                </c:pt>
                <c:pt idx="536">
                  <c:v>100.96445598172258</c:v>
                </c:pt>
                <c:pt idx="537">
                  <c:v>93.911566739112857</c:v>
                </c:pt>
                <c:pt idx="538">
                  <c:v>85.179479505831821</c:v>
                </c:pt>
                <c:pt idx="539">
                  <c:v>137.70441711464002</c:v>
                </c:pt>
                <c:pt idx="540">
                  <c:v>113.91210660071741</c:v>
                </c:pt>
                <c:pt idx="541">
                  <c:v>72.235538187637218</c:v>
                </c:pt>
                <c:pt idx="542">
                  <c:v>113.13113651441485</c:v>
                </c:pt>
                <c:pt idx="543">
                  <c:v>98.51182822380558</c:v>
                </c:pt>
                <c:pt idx="544">
                  <c:v>109.84296783109288</c:v>
                </c:pt>
                <c:pt idx="545">
                  <c:v>92.471873908809883</c:v>
                </c:pt>
                <c:pt idx="546">
                  <c:v>82.814557839557096</c:v>
                </c:pt>
                <c:pt idx="547">
                  <c:v>93.503994618088541</c:v>
                </c:pt>
                <c:pt idx="548">
                  <c:v>79.422902879990389</c:v>
                </c:pt>
                <c:pt idx="549">
                  <c:v>105.36521743833212</c:v>
                </c:pt>
                <c:pt idx="550">
                  <c:v>97.544769093414956</c:v>
                </c:pt>
                <c:pt idx="551">
                  <c:v>109.32911979570035</c:v>
                </c:pt>
                <c:pt idx="552">
                  <c:v>96.061018357741219</c:v>
                </c:pt>
                <c:pt idx="553">
                  <c:v>97.655826463568701</c:v>
                </c:pt>
                <c:pt idx="554">
                  <c:v>112.80196935889751</c:v>
                </c:pt>
                <c:pt idx="555">
                  <c:v>116.9699298577235</c:v>
                </c:pt>
                <c:pt idx="556">
                  <c:v>101.63830169040418</c:v>
                </c:pt>
                <c:pt idx="557">
                  <c:v>145.00461185555281</c:v>
                </c:pt>
                <c:pt idx="558">
                  <c:v>123.20374646315777</c:v>
                </c:pt>
                <c:pt idx="559">
                  <c:v>139.55618819189996</c:v>
                </c:pt>
                <c:pt idx="560">
                  <c:v>84.008431081201252</c:v>
                </c:pt>
                <c:pt idx="561">
                  <c:v>126.86691741104714</c:v>
                </c:pt>
                <c:pt idx="562">
                  <c:v>75.151421081742853</c:v>
                </c:pt>
                <c:pt idx="563">
                  <c:v>98.111592989470466</c:v>
                </c:pt>
                <c:pt idx="564">
                  <c:v>110.95169554989667</c:v>
                </c:pt>
                <c:pt idx="565">
                  <c:v>148.03372649024203</c:v>
                </c:pt>
                <c:pt idx="566">
                  <c:v>91.287382437532543</c:v>
                </c:pt>
                <c:pt idx="567">
                  <c:v>126.5529126547127</c:v>
                </c:pt>
                <c:pt idx="568">
                  <c:v>121.47841104875992</c:v>
                </c:pt>
                <c:pt idx="569">
                  <c:v>114.46067253722677</c:v>
                </c:pt>
                <c:pt idx="570">
                  <c:v>97.456213401541945</c:v>
                </c:pt>
                <c:pt idx="571">
                  <c:v>88.639852563710164</c:v>
                </c:pt>
                <c:pt idx="572">
                  <c:v>126.39558297541775</c:v>
                </c:pt>
                <c:pt idx="573">
                  <c:v>119.31690802460632</c:v>
                </c:pt>
                <c:pt idx="574">
                  <c:v>99.338499359092168</c:v>
                </c:pt>
                <c:pt idx="575">
                  <c:v>147.97856276409428</c:v>
                </c:pt>
                <c:pt idx="576">
                  <c:v>114.60881006154524</c:v>
                </c:pt>
                <c:pt idx="577">
                  <c:v>123.33635930117646</c:v>
                </c:pt>
                <c:pt idx="578">
                  <c:v>123.3266806218757</c:v>
                </c:pt>
                <c:pt idx="579">
                  <c:v>94.31560859441025</c:v>
                </c:pt>
                <c:pt idx="580">
                  <c:v>108.31995973980509</c:v>
                </c:pt>
                <c:pt idx="581">
                  <c:v>147.94670936810181</c:v>
                </c:pt>
                <c:pt idx="582">
                  <c:v>105.99294086812024</c:v>
                </c:pt>
                <c:pt idx="583">
                  <c:v>154.31371606647031</c:v>
                </c:pt>
                <c:pt idx="584">
                  <c:v>102.73193446897861</c:v>
                </c:pt>
                <c:pt idx="585">
                  <c:v>85.112998197216683</c:v>
                </c:pt>
                <c:pt idx="586">
                  <c:v>86.453637554514842</c:v>
                </c:pt>
                <c:pt idx="587">
                  <c:v>148.92079714278012</c:v>
                </c:pt>
                <c:pt idx="588">
                  <c:v>105.28193671206797</c:v>
                </c:pt>
                <c:pt idx="589">
                  <c:v>98.261654692413686</c:v>
                </c:pt>
                <c:pt idx="590">
                  <c:v>105.30730863755322</c:v>
                </c:pt>
                <c:pt idx="591">
                  <c:v>131.20420762777468</c:v>
                </c:pt>
                <c:pt idx="592">
                  <c:v>111.72604389345317</c:v>
                </c:pt>
                <c:pt idx="593">
                  <c:v>87.965908287263062</c:v>
                </c:pt>
                <c:pt idx="594">
                  <c:v>73.893445893117416</c:v>
                </c:pt>
                <c:pt idx="595">
                  <c:v>124.19197612347895</c:v>
                </c:pt>
                <c:pt idx="596">
                  <c:v>169.89782123958014</c:v>
                </c:pt>
                <c:pt idx="597">
                  <c:v>91.037272773925849</c:v>
                </c:pt>
                <c:pt idx="598">
                  <c:v>122.7745724354137</c:v>
                </c:pt>
                <c:pt idx="599">
                  <c:v>107.31486188235235</c:v>
                </c:pt>
                <c:pt idx="600">
                  <c:v>118.72384274519952</c:v>
                </c:pt>
                <c:pt idx="601">
                  <c:v>112.01112784633281</c:v>
                </c:pt>
                <c:pt idx="602">
                  <c:v>71.907159547477718</c:v>
                </c:pt>
                <c:pt idx="603">
                  <c:v>91.039914192459335</c:v>
                </c:pt>
                <c:pt idx="604">
                  <c:v>80.80837694324228</c:v>
                </c:pt>
                <c:pt idx="605">
                  <c:v>85.481686240027827</c:v>
                </c:pt>
                <c:pt idx="606">
                  <c:v>93.616297767813933</c:v>
                </c:pt>
                <c:pt idx="607">
                  <c:v>77.718618281178649</c:v>
                </c:pt>
                <c:pt idx="608">
                  <c:v>126.03724677587057</c:v>
                </c:pt>
                <c:pt idx="609">
                  <c:v>121.02664197214922</c:v>
                </c:pt>
                <c:pt idx="610">
                  <c:v>109.33189455530467</c:v>
                </c:pt>
                <c:pt idx="611">
                  <c:v>89.109334751551941</c:v>
                </c:pt>
                <c:pt idx="612">
                  <c:v>93.373275981415134</c:v>
                </c:pt>
                <c:pt idx="613">
                  <c:v>130.55935757220715</c:v>
                </c:pt>
                <c:pt idx="614">
                  <c:v>135.40416938400844</c:v>
                </c:pt>
                <c:pt idx="615">
                  <c:v>182.29698181884615</c:v>
                </c:pt>
                <c:pt idx="616">
                  <c:v>94.48185409642258</c:v>
                </c:pt>
                <c:pt idx="617">
                  <c:v>105.10810498590907</c:v>
                </c:pt>
                <c:pt idx="618">
                  <c:v>84.713622487093886</c:v>
                </c:pt>
                <c:pt idx="619">
                  <c:v>100.39248569254543</c:v>
                </c:pt>
                <c:pt idx="620">
                  <c:v>114.49026147140354</c:v>
                </c:pt>
                <c:pt idx="621">
                  <c:v>100.40477323834213</c:v>
                </c:pt>
                <c:pt idx="622">
                  <c:v>80.101628162921784</c:v>
                </c:pt>
                <c:pt idx="623">
                  <c:v>101.59429139921497</c:v>
                </c:pt>
                <c:pt idx="624">
                  <c:v>141.60207444988114</c:v>
                </c:pt>
                <c:pt idx="625">
                  <c:v>135.3517049945691</c:v>
                </c:pt>
                <c:pt idx="626">
                  <c:v>105.31977215455613</c:v>
                </c:pt>
                <c:pt idx="627">
                  <c:v>114.90374189598826</c:v>
                </c:pt>
                <c:pt idx="628">
                  <c:v>120.99275077108688</c:v>
                </c:pt>
                <c:pt idx="629">
                  <c:v>129.21351248661668</c:v>
                </c:pt>
                <c:pt idx="630">
                  <c:v>114.95848535413083</c:v>
                </c:pt>
                <c:pt idx="631">
                  <c:v>95.212195671946546</c:v>
                </c:pt>
                <c:pt idx="632">
                  <c:v>80.896971093120513</c:v>
                </c:pt>
                <c:pt idx="633">
                  <c:v>121.55431398656629</c:v>
                </c:pt>
                <c:pt idx="634">
                  <c:v>63.703788876457409</c:v>
                </c:pt>
                <c:pt idx="635">
                  <c:v>120.44045588592112</c:v>
                </c:pt>
                <c:pt idx="636">
                  <c:v>88.079132816168055</c:v>
                </c:pt>
                <c:pt idx="637">
                  <c:v>77.274116212693855</c:v>
                </c:pt>
                <c:pt idx="638">
                  <c:v>108.73593880279275</c:v>
                </c:pt>
                <c:pt idx="639">
                  <c:v>112.29687526161186</c:v>
                </c:pt>
                <c:pt idx="640">
                  <c:v>116.94908548723794</c:v>
                </c:pt>
                <c:pt idx="641">
                  <c:v>126.10503267301314</c:v>
                </c:pt>
                <c:pt idx="642">
                  <c:v>106.85290699512437</c:v>
                </c:pt>
                <c:pt idx="643">
                  <c:v>74.123172056749681</c:v>
                </c:pt>
                <c:pt idx="644">
                  <c:v>119.63888576237674</c:v>
                </c:pt>
                <c:pt idx="645">
                  <c:v>108.00848466274553</c:v>
                </c:pt>
                <c:pt idx="646">
                  <c:v>185.55152897850323</c:v>
                </c:pt>
                <c:pt idx="647">
                  <c:v>73.034253569700866</c:v>
                </c:pt>
                <c:pt idx="648">
                  <c:v>101.95640344290258</c:v>
                </c:pt>
                <c:pt idx="649">
                  <c:v>106.14722881440706</c:v>
                </c:pt>
                <c:pt idx="650">
                  <c:v>108.5487808287148</c:v>
                </c:pt>
                <c:pt idx="651">
                  <c:v>117.35822776469355</c:v>
                </c:pt>
                <c:pt idx="652">
                  <c:v>117.33998847925538</c:v>
                </c:pt>
                <c:pt idx="653">
                  <c:v>126.45954164007983</c:v>
                </c:pt>
                <c:pt idx="654">
                  <c:v>137.62411828433389</c:v>
                </c:pt>
                <c:pt idx="655">
                  <c:v>109.22799096272746</c:v>
                </c:pt>
                <c:pt idx="656">
                  <c:v>86.798414736419659</c:v>
                </c:pt>
                <c:pt idx="657">
                  <c:v>112.12081630779899</c:v>
                </c:pt>
                <c:pt idx="658">
                  <c:v>97.25569425914793</c:v>
                </c:pt>
                <c:pt idx="659">
                  <c:v>110.45295085592883</c:v>
                </c:pt>
                <c:pt idx="660">
                  <c:v>118.44221438182463</c:v>
                </c:pt>
                <c:pt idx="661">
                  <c:v>125.60614269326837</c:v>
                </c:pt>
                <c:pt idx="662">
                  <c:v>141.29053110356679</c:v>
                </c:pt>
                <c:pt idx="663">
                  <c:v>81.868197152275158</c:v>
                </c:pt>
                <c:pt idx="664">
                  <c:v>128.08712527557776</c:v>
                </c:pt>
                <c:pt idx="665">
                  <c:v>82.259004742003256</c:v>
                </c:pt>
                <c:pt idx="666">
                  <c:v>100.04351152342335</c:v>
                </c:pt>
                <c:pt idx="667">
                  <c:v>80.723374736630788</c:v>
                </c:pt>
                <c:pt idx="668">
                  <c:v>146.99487282017085</c:v>
                </c:pt>
                <c:pt idx="669">
                  <c:v>94.860134575960544</c:v>
                </c:pt>
                <c:pt idx="670">
                  <c:v>122.28255689668264</c:v>
                </c:pt>
                <c:pt idx="671">
                  <c:v>111.74229007096956</c:v>
                </c:pt>
                <c:pt idx="672">
                  <c:v>113.02600400405073</c:v>
                </c:pt>
                <c:pt idx="673">
                  <c:v>108.31703318897664</c:v>
                </c:pt>
                <c:pt idx="674">
                  <c:v>108.60249527693175</c:v>
                </c:pt>
                <c:pt idx="675">
                  <c:v>86.171563245434641</c:v>
                </c:pt>
                <c:pt idx="676">
                  <c:v>100.57811833668922</c:v>
                </c:pt>
                <c:pt idx="677">
                  <c:v>117.41117048889929</c:v>
                </c:pt>
                <c:pt idx="678">
                  <c:v>98.648556727776523</c:v>
                </c:pt>
                <c:pt idx="679">
                  <c:v>103.43750903176502</c:v>
                </c:pt>
                <c:pt idx="680">
                  <c:v>113.92419343582453</c:v>
                </c:pt>
                <c:pt idx="681">
                  <c:v>99.018943799307564</c:v>
                </c:pt>
                <c:pt idx="682">
                  <c:v>124.09729141366728</c:v>
                </c:pt>
                <c:pt idx="683">
                  <c:v>98.554354266988653</c:v>
                </c:pt>
                <c:pt idx="684">
                  <c:v>91.448752271755325</c:v>
                </c:pt>
                <c:pt idx="685">
                  <c:v>155.48340097289255</c:v>
                </c:pt>
                <c:pt idx="686">
                  <c:v>88.284638722335487</c:v>
                </c:pt>
                <c:pt idx="687">
                  <c:v>79.741435060137306</c:v>
                </c:pt>
                <c:pt idx="688">
                  <c:v>86.038449846795501</c:v>
                </c:pt>
                <c:pt idx="689">
                  <c:v>83.357772789756311</c:v>
                </c:pt>
                <c:pt idx="690">
                  <c:v>158.60719143246408</c:v>
                </c:pt>
                <c:pt idx="691">
                  <c:v>124.61345606783328</c:v>
                </c:pt>
                <c:pt idx="692">
                  <c:v>81.002890634103949</c:v>
                </c:pt>
                <c:pt idx="693">
                  <c:v>87.250047951113842</c:v>
                </c:pt>
                <c:pt idx="694">
                  <c:v>77.867677882726497</c:v>
                </c:pt>
                <c:pt idx="695">
                  <c:v>137.11078601706029</c:v>
                </c:pt>
                <c:pt idx="696">
                  <c:v>102.36580105341271</c:v>
                </c:pt>
                <c:pt idx="697">
                  <c:v>138.30483307426334</c:v>
                </c:pt>
                <c:pt idx="698">
                  <c:v>69.640956299391888</c:v>
                </c:pt>
                <c:pt idx="699">
                  <c:v>114.36233693214781</c:v>
                </c:pt>
                <c:pt idx="700">
                  <c:v>94.927732680377801</c:v>
                </c:pt>
                <c:pt idx="701">
                  <c:v>96.206245520384215</c:v>
                </c:pt>
                <c:pt idx="702">
                  <c:v>120.97727731152177</c:v>
                </c:pt>
                <c:pt idx="703">
                  <c:v>76.410526039981448</c:v>
                </c:pt>
                <c:pt idx="704">
                  <c:v>104.10182769566492</c:v>
                </c:pt>
                <c:pt idx="705">
                  <c:v>178.5418197373055</c:v>
                </c:pt>
                <c:pt idx="706">
                  <c:v>100.41708046259366</c:v>
                </c:pt>
                <c:pt idx="707">
                  <c:v>85.927395242150482</c:v>
                </c:pt>
                <c:pt idx="708">
                  <c:v>129.06628097239272</c:v>
                </c:pt>
                <c:pt idx="709">
                  <c:v>99.391771573094886</c:v>
                </c:pt>
                <c:pt idx="710">
                  <c:v>117.98905956420101</c:v>
                </c:pt>
                <c:pt idx="711">
                  <c:v>129.10362430417703</c:v>
                </c:pt>
                <c:pt idx="712">
                  <c:v>79.920940013887702</c:v>
                </c:pt>
                <c:pt idx="713">
                  <c:v>160.17096594130794</c:v>
                </c:pt>
                <c:pt idx="714">
                  <c:v>88.50997840049402</c:v>
                </c:pt>
                <c:pt idx="715">
                  <c:v>153.84495095583048</c:v>
                </c:pt>
                <c:pt idx="716">
                  <c:v>121.894539043319</c:v>
                </c:pt>
                <c:pt idx="717">
                  <c:v>111.30363218319934</c:v>
                </c:pt>
                <c:pt idx="718">
                  <c:v>113.86133314018419</c:v>
                </c:pt>
                <c:pt idx="719">
                  <c:v>92.969547593945805</c:v>
                </c:pt>
                <c:pt idx="720">
                  <c:v>93.315407862710373</c:v>
                </c:pt>
                <c:pt idx="721">
                  <c:v>128.33263755027485</c:v>
                </c:pt>
                <c:pt idx="722">
                  <c:v>86.793941353554033</c:v>
                </c:pt>
                <c:pt idx="723">
                  <c:v>102.17370659899058</c:v>
                </c:pt>
                <c:pt idx="724">
                  <c:v>115.890264580657</c:v>
                </c:pt>
                <c:pt idx="725">
                  <c:v>83.188211221265917</c:v>
                </c:pt>
                <c:pt idx="726">
                  <c:v>103.20599978033533</c:v>
                </c:pt>
                <c:pt idx="727">
                  <c:v>107.4488395393912</c:v>
                </c:pt>
                <c:pt idx="728">
                  <c:v>96.126251309048016</c:v>
                </c:pt>
                <c:pt idx="729">
                  <c:v>83.631352714191593</c:v>
                </c:pt>
                <c:pt idx="730">
                  <c:v>75.596255970236768</c:v>
                </c:pt>
                <c:pt idx="731">
                  <c:v>129.67558834599205</c:v>
                </c:pt>
                <c:pt idx="732">
                  <c:v>98.609821974655404</c:v>
                </c:pt>
                <c:pt idx="733">
                  <c:v>105.34109468356539</c:v>
                </c:pt>
                <c:pt idx="734">
                  <c:v>85.351738192588286</c:v>
                </c:pt>
                <c:pt idx="735">
                  <c:v>91.436812757084212</c:v>
                </c:pt>
                <c:pt idx="736">
                  <c:v>76.939578721131284</c:v>
                </c:pt>
                <c:pt idx="737">
                  <c:v>129.59147986976774</c:v>
                </c:pt>
                <c:pt idx="738">
                  <c:v>135.56138906306757</c:v>
                </c:pt>
                <c:pt idx="739">
                  <c:v>86.218244008306272</c:v>
                </c:pt>
                <c:pt idx="740">
                  <c:v>113.98620258414675</c:v>
                </c:pt>
                <c:pt idx="741">
                  <c:v>69.493215911843848</c:v>
                </c:pt>
                <c:pt idx="742">
                  <c:v>86.109905675616872</c:v>
                </c:pt>
                <c:pt idx="743">
                  <c:v>99.486389956105583</c:v>
                </c:pt>
                <c:pt idx="744">
                  <c:v>94.746190345149401</c:v>
                </c:pt>
                <c:pt idx="745">
                  <c:v>112.77078111989881</c:v>
                </c:pt>
                <c:pt idx="746">
                  <c:v>103.051003455334</c:v>
                </c:pt>
                <c:pt idx="747">
                  <c:v>102.58207064837138</c:v>
                </c:pt>
                <c:pt idx="748">
                  <c:v>99.049430225699609</c:v>
                </c:pt>
                <c:pt idx="749">
                  <c:v>99.951146968987814</c:v>
                </c:pt>
                <c:pt idx="750">
                  <c:v>91.809688902336177</c:v>
                </c:pt>
                <c:pt idx="751">
                  <c:v>99.422962384922897</c:v>
                </c:pt>
                <c:pt idx="752">
                  <c:v>91.840294111866314</c:v>
                </c:pt>
                <c:pt idx="753">
                  <c:v>73.585022274113243</c:v>
                </c:pt>
                <c:pt idx="754">
                  <c:v>91.635474793064603</c:v>
                </c:pt>
                <c:pt idx="755">
                  <c:v>108.86235682305959</c:v>
                </c:pt>
                <c:pt idx="756">
                  <c:v>84.877197975390672</c:v>
                </c:pt>
                <c:pt idx="757">
                  <c:v>99.422179082607514</c:v>
                </c:pt>
                <c:pt idx="758">
                  <c:v>83.012922270969483</c:v>
                </c:pt>
                <c:pt idx="759">
                  <c:v>83.393327670315813</c:v>
                </c:pt>
                <c:pt idx="760">
                  <c:v>111.68956226640242</c:v>
                </c:pt>
                <c:pt idx="761">
                  <c:v>137.94128901531957</c:v>
                </c:pt>
                <c:pt idx="762">
                  <c:v>116.79139374275368</c:v>
                </c:pt>
                <c:pt idx="763">
                  <c:v>84.269793416840315</c:v>
                </c:pt>
                <c:pt idx="764">
                  <c:v>164.47715716092364</c:v>
                </c:pt>
                <c:pt idx="765">
                  <c:v>94.728776192399692</c:v>
                </c:pt>
                <c:pt idx="766">
                  <c:v>100.08397452597724</c:v>
                </c:pt>
                <c:pt idx="767">
                  <c:v>124.11589934636029</c:v>
                </c:pt>
                <c:pt idx="768">
                  <c:v>120.43717308420742</c:v>
                </c:pt>
                <c:pt idx="769">
                  <c:v>93.563320740301975</c:v>
                </c:pt>
                <c:pt idx="770">
                  <c:v>118.26866920414206</c:v>
                </c:pt>
                <c:pt idx="771">
                  <c:v>81.797342204977852</c:v>
                </c:pt>
                <c:pt idx="772">
                  <c:v>86.925860586643594</c:v>
                </c:pt>
                <c:pt idx="773">
                  <c:v>87.4263298453657</c:v>
                </c:pt>
                <c:pt idx="774">
                  <c:v>107.08313292208494</c:v>
                </c:pt>
                <c:pt idx="775">
                  <c:v>103.34001738201243</c:v>
                </c:pt>
                <c:pt idx="776">
                  <c:v>87.178726713834862</c:v>
                </c:pt>
                <c:pt idx="777">
                  <c:v>92.510078646130552</c:v>
                </c:pt>
                <c:pt idx="778">
                  <c:v>73.827498914416239</c:v>
                </c:pt>
                <c:pt idx="779">
                  <c:v>112.49077242047112</c:v>
                </c:pt>
                <c:pt idx="780">
                  <c:v>116.28103798642483</c:v>
                </c:pt>
                <c:pt idx="781">
                  <c:v>94.216964326238781</c:v>
                </c:pt>
                <c:pt idx="782">
                  <c:v>89.621675384569471</c:v>
                </c:pt>
                <c:pt idx="783">
                  <c:v>122.95907166637218</c:v>
                </c:pt>
                <c:pt idx="784">
                  <c:v>89.480904531280217</c:v>
                </c:pt>
                <c:pt idx="785">
                  <c:v>65.900152838923987</c:v>
                </c:pt>
                <c:pt idx="786">
                  <c:v>64.864375413128769</c:v>
                </c:pt>
                <c:pt idx="787">
                  <c:v>126.72331489204991</c:v>
                </c:pt>
                <c:pt idx="788">
                  <c:v>98.948318489851886</c:v>
                </c:pt>
                <c:pt idx="789">
                  <c:v>124.4424247712475</c:v>
                </c:pt>
                <c:pt idx="790">
                  <c:v>113.37436982028233</c:v>
                </c:pt>
                <c:pt idx="791">
                  <c:v>98.567377268665709</c:v>
                </c:pt>
                <c:pt idx="792">
                  <c:v>111.72149161711199</c:v>
                </c:pt>
                <c:pt idx="793">
                  <c:v>106.80207371729966</c:v>
                </c:pt>
                <c:pt idx="794">
                  <c:v>139.15268627861792</c:v>
                </c:pt>
                <c:pt idx="795">
                  <c:v>128.30108538586691</c:v>
                </c:pt>
                <c:pt idx="796">
                  <c:v>134.69906059692306</c:v>
                </c:pt>
                <c:pt idx="797">
                  <c:v>103.92927487082993</c:v>
                </c:pt>
                <c:pt idx="798">
                  <c:v>103.38434803798367</c:v>
                </c:pt>
                <c:pt idx="799">
                  <c:v>97.405682749362825</c:v>
                </c:pt>
                <c:pt idx="800">
                  <c:v>98.048958797611121</c:v>
                </c:pt>
                <c:pt idx="801">
                  <c:v>91.415700024248963</c:v>
                </c:pt>
                <c:pt idx="802">
                  <c:v>113.32148156753976</c:v>
                </c:pt>
                <c:pt idx="803">
                  <c:v>113.02536980752998</c:v>
                </c:pt>
                <c:pt idx="804">
                  <c:v>86.91294468908697</c:v>
                </c:pt>
                <c:pt idx="805">
                  <c:v>98.9494311320191</c:v>
                </c:pt>
                <c:pt idx="806">
                  <c:v>136.61393963689122</c:v>
                </c:pt>
                <c:pt idx="807">
                  <c:v>157.74373211665267</c:v>
                </c:pt>
                <c:pt idx="808">
                  <c:v>87.004516030800986</c:v>
                </c:pt>
                <c:pt idx="809">
                  <c:v>105.23671488331158</c:v>
                </c:pt>
                <c:pt idx="810">
                  <c:v>85.468993160541402</c:v>
                </c:pt>
                <c:pt idx="811">
                  <c:v>108.66012783963002</c:v>
                </c:pt>
                <c:pt idx="812">
                  <c:v>86.158282400435297</c:v>
                </c:pt>
                <c:pt idx="813">
                  <c:v>102.12039122377736</c:v>
                </c:pt>
                <c:pt idx="814">
                  <c:v>104.50056315031158</c:v>
                </c:pt>
                <c:pt idx="815">
                  <c:v>80.917855261607613</c:v>
                </c:pt>
                <c:pt idx="816">
                  <c:v>84.215953682956439</c:v>
                </c:pt>
                <c:pt idx="817">
                  <c:v>90.004990708698998</c:v>
                </c:pt>
                <c:pt idx="818">
                  <c:v>81.339743404428773</c:v>
                </c:pt>
                <c:pt idx="819">
                  <c:v>128.55182416145118</c:v>
                </c:pt>
                <c:pt idx="820">
                  <c:v>117.71713307065323</c:v>
                </c:pt>
                <c:pt idx="821">
                  <c:v>145.06464534978443</c:v>
                </c:pt>
                <c:pt idx="822">
                  <c:v>78.342714201315275</c:v>
                </c:pt>
                <c:pt idx="823">
                  <c:v>95.934320884813175</c:v>
                </c:pt>
                <c:pt idx="824">
                  <c:v>149.0835769130762</c:v>
                </c:pt>
                <c:pt idx="825">
                  <c:v>77.853089262975487</c:v>
                </c:pt>
                <c:pt idx="826">
                  <c:v>81.271182778501583</c:v>
                </c:pt>
                <c:pt idx="827">
                  <c:v>151.0874062644935</c:v>
                </c:pt>
                <c:pt idx="828">
                  <c:v>124.93126167049446</c:v>
                </c:pt>
                <c:pt idx="829">
                  <c:v>89.42003675036284</c:v>
                </c:pt>
                <c:pt idx="830">
                  <c:v>87.269238121829147</c:v>
                </c:pt>
                <c:pt idx="831">
                  <c:v>118.07623995338801</c:v>
                </c:pt>
                <c:pt idx="832">
                  <c:v>120.28001681668961</c:v>
                </c:pt>
                <c:pt idx="833">
                  <c:v>79.34962377778821</c:v>
                </c:pt>
                <c:pt idx="834">
                  <c:v>98.862826506157404</c:v>
                </c:pt>
                <c:pt idx="835">
                  <c:v>107.05806766626182</c:v>
                </c:pt>
                <c:pt idx="836">
                  <c:v>78.074803522063746</c:v>
                </c:pt>
                <c:pt idx="837">
                  <c:v>99.464200414221025</c:v>
                </c:pt>
                <c:pt idx="838">
                  <c:v>120.13082100824663</c:v>
                </c:pt>
                <c:pt idx="839">
                  <c:v>94.593624640478936</c:v>
                </c:pt>
                <c:pt idx="840">
                  <c:v>108.32146394507059</c:v>
                </c:pt>
                <c:pt idx="841">
                  <c:v>118.60632408656838</c:v>
                </c:pt>
                <c:pt idx="842">
                  <c:v>91.275632389001643</c:v>
                </c:pt>
                <c:pt idx="843">
                  <c:v>93.993039950015628</c:v>
                </c:pt>
                <c:pt idx="844">
                  <c:v>93.952145884164636</c:v>
                </c:pt>
                <c:pt idx="845">
                  <c:v>87.998543324807969</c:v>
                </c:pt>
                <c:pt idx="846">
                  <c:v>132.7121884526039</c:v>
                </c:pt>
                <c:pt idx="847">
                  <c:v>102.75827044910152</c:v>
                </c:pt>
                <c:pt idx="848">
                  <c:v>95.592330292749253</c:v>
                </c:pt>
                <c:pt idx="849">
                  <c:v>134.06229449566936</c:v>
                </c:pt>
                <c:pt idx="850">
                  <c:v>87.054221535265697</c:v>
                </c:pt>
                <c:pt idx="851">
                  <c:v>91.549890688299485</c:v>
                </c:pt>
                <c:pt idx="852">
                  <c:v>80.001407806114941</c:v>
                </c:pt>
                <c:pt idx="853">
                  <c:v>88.565980573178848</c:v>
                </c:pt>
                <c:pt idx="854">
                  <c:v>102.33472493923001</c:v>
                </c:pt>
                <c:pt idx="855">
                  <c:v>81.265059353907077</c:v>
                </c:pt>
                <c:pt idx="856">
                  <c:v>106.16905477353126</c:v>
                </c:pt>
                <c:pt idx="857">
                  <c:v>93.593233225380729</c:v>
                </c:pt>
                <c:pt idx="858">
                  <c:v>97.859919087988104</c:v>
                </c:pt>
                <c:pt idx="859">
                  <c:v>106.13938086912505</c:v>
                </c:pt>
                <c:pt idx="860">
                  <c:v>135.4575383547334</c:v>
                </c:pt>
                <c:pt idx="861">
                  <c:v>119.19881469942037</c:v>
                </c:pt>
                <c:pt idx="862">
                  <c:v>110.34869670016822</c:v>
                </c:pt>
                <c:pt idx="863">
                  <c:v>113.40253382323233</c:v>
                </c:pt>
                <c:pt idx="864">
                  <c:v>99.63569105441762</c:v>
                </c:pt>
                <c:pt idx="865">
                  <c:v>97.582809764493774</c:v>
                </c:pt>
                <c:pt idx="866">
                  <c:v>103.39911496873917</c:v>
                </c:pt>
                <c:pt idx="867">
                  <c:v>103.69348153380004</c:v>
                </c:pt>
                <c:pt idx="868">
                  <c:v>86.222418393419446</c:v>
                </c:pt>
                <c:pt idx="869">
                  <c:v>97.122359025324855</c:v>
                </c:pt>
                <c:pt idx="870">
                  <c:v>121.0271286149767</c:v>
                </c:pt>
                <c:pt idx="871">
                  <c:v>133.54917235830612</c:v>
                </c:pt>
                <c:pt idx="872">
                  <c:v>76.100476705743404</c:v>
                </c:pt>
                <c:pt idx="873">
                  <c:v>129.12158943918311</c:v>
                </c:pt>
                <c:pt idx="874">
                  <c:v>124.84185058689171</c:v>
                </c:pt>
                <c:pt idx="875">
                  <c:v>104.61624761924554</c:v>
                </c:pt>
                <c:pt idx="876">
                  <c:v>96.55436465503459</c:v>
                </c:pt>
                <c:pt idx="877">
                  <c:v>70.958106906525757</c:v>
                </c:pt>
                <c:pt idx="878">
                  <c:v>103.17761581580531</c:v>
                </c:pt>
                <c:pt idx="879">
                  <c:v>68.581044983693374</c:v>
                </c:pt>
                <c:pt idx="880">
                  <c:v>97.817695287802181</c:v>
                </c:pt>
                <c:pt idx="881">
                  <c:v>91.10341310845368</c:v>
                </c:pt>
                <c:pt idx="882">
                  <c:v>78.797636555413334</c:v>
                </c:pt>
                <c:pt idx="883">
                  <c:v>110.64313580626617</c:v>
                </c:pt>
                <c:pt idx="884">
                  <c:v>106.58172885897602</c:v>
                </c:pt>
                <c:pt idx="885">
                  <c:v>136.07619234749555</c:v>
                </c:pt>
                <c:pt idx="886">
                  <c:v>110.93901050008978</c:v>
                </c:pt>
                <c:pt idx="887">
                  <c:v>88.060603841224236</c:v>
                </c:pt>
                <c:pt idx="888">
                  <c:v>113.49080140272912</c:v>
                </c:pt>
                <c:pt idx="889">
                  <c:v>67.631530518517152</c:v>
                </c:pt>
                <c:pt idx="890">
                  <c:v>117.64436152417423</c:v>
                </c:pt>
                <c:pt idx="891">
                  <c:v>130.76735088033502</c:v>
                </c:pt>
                <c:pt idx="892">
                  <c:v>93.718094342552519</c:v>
                </c:pt>
                <c:pt idx="893">
                  <c:v>136.29169419722658</c:v>
                </c:pt>
                <c:pt idx="894">
                  <c:v>99.261598783575693</c:v>
                </c:pt>
                <c:pt idx="895">
                  <c:v>152.56684838802548</c:v>
                </c:pt>
                <c:pt idx="896">
                  <c:v>78.814563629876176</c:v>
                </c:pt>
                <c:pt idx="897">
                  <c:v>124.44714631579589</c:v>
                </c:pt>
                <c:pt idx="898">
                  <c:v>117.47927635478641</c:v>
                </c:pt>
                <c:pt idx="899">
                  <c:v>107.12380554013906</c:v>
                </c:pt>
                <c:pt idx="900">
                  <c:v>114.25444048631901</c:v>
                </c:pt>
                <c:pt idx="901">
                  <c:v>100.92764117420157</c:v>
                </c:pt>
                <c:pt idx="902">
                  <c:v>129.00748535127326</c:v>
                </c:pt>
                <c:pt idx="903">
                  <c:v>88.602755347266253</c:v>
                </c:pt>
                <c:pt idx="904">
                  <c:v>77.47125212440335</c:v>
                </c:pt>
                <c:pt idx="905">
                  <c:v>118.97953366480142</c:v>
                </c:pt>
                <c:pt idx="906">
                  <c:v>119.8272909517181</c:v>
                </c:pt>
                <c:pt idx="907">
                  <c:v>143.50016045243672</c:v>
                </c:pt>
                <c:pt idx="908">
                  <c:v>110.41127665973471</c:v>
                </c:pt>
                <c:pt idx="909">
                  <c:v>79.715822588234516</c:v>
                </c:pt>
                <c:pt idx="910">
                  <c:v>79.712063801488725</c:v>
                </c:pt>
                <c:pt idx="911">
                  <c:v>86.022559207188024</c:v>
                </c:pt>
                <c:pt idx="912">
                  <c:v>87.586463782866815</c:v>
                </c:pt>
                <c:pt idx="913">
                  <c:v>91.002515810948253</c:v>
                </c:pt>
                <c:pt idx="914">
                  <c:v>117.56200694894557</c:v>
                </c:pt>
                <c:pt idx="915">
                  <c:v>129.77895316892045</c:v>
                </c:pt>
                <c:pt idx="916">
                  <c:v>108.55323636273754</c:v>
                </c:pt>
                <c:pt idx="917">
                  <c:v>104.49154946030973</c:v>
                </c:pt>
                <c:pt idx="918">
                  <c:v>127.40845792955335</c:v>
                </c:pt>
                <c:pt idx="919">
                  <c:v>110.95616871326231</c:v>
                </c:pt>
                <c:pt idx="920">
                  <c:v>86.787000586398577</c:v>
                </c:pt>
                <c:pt idx="921">
                  <c:v>86.148145928481512</c:v>
                </c:pt>
                <c:pt idx="922">
                  <c:v>105.0422644412357</c:v>
                </c:pt>
                <c:pt idx="923">
                  <c:v>74.046249585525459</c:v>
                </c:pt>
                <c:pt idx="924">
                  <c:v>141.87654100958963</c:v>
                </c:pt>
                <c:pt idx="925">
                  <c:v>72.827898597495079</c:v>
                </c:pt>
                <c:pt idx="926">
                  <c:v>87.362884233166326</c:v>
                </c:pt>
                <c:pt idx="927">
                  <c:v>90.47487191829407</c:v>
                </c:pt>
                <c:pt idx="928">
                  <c:v>92.134597026689093</c:v>
                </c:pt>
                <c:pt idx="929">
                  <c:v>132.0604894645644</c:v>
                </c:pt>
                <c:pt idx="930">
                  <c:v>100.38163071696229</c:v>
                </c:pt>
                <c:pt idx="931">
                  <c:v>142.52579568161619</c:v>
                </c:pt>
                <c:pt idx="932">
                  <c:v>73.558531726488056</c:v>
                </c:pt>
                <c:pt idx="933">
                  <c:v>88.045886040749281</c:v>
                </c:pt>
                <c:pt idx="934">
                  <c:v>99.638786172339223</c:v>
                </c:pt>
                <c:pt idx="935">
                  <c:v>106.39131225382712</c:v>
                </c:pt>
                <c:pt idx="936">
                  <c:v>92.631416128953305</c:v>
                </c:pt>
                <c:pt idx="937">
                  <c:v>76.37422770600358</c:v>
                </c:pt>
                <c:pt idx="938">
                  <c:v>95.90687300411787</c:v>
                </c:pt>
                <c:pt idx="939">
                  <c:v>110.82994530625419</c:v>
                </c:pt>
                <c:pt idx="940">
                  <c:v>113.82356176431979</c:v>
                </c:pt>
                <c:pt idx="941">
                  <c:v>110.82501491007508</c:v>
                </c:pt>
                <c:pt idx="942">
                  <c:v>146.10061024638395</c:v>
                </c:pt>
                <c:pt idx="943">
                  <c:v>96.429499813119364</c:v>
                </c:pt>
                <c:pt idx="944">
                  <c:v>108.62329683303369</c:v>
                </c:pt>
                <c:pt idx="945">
                  <c:v>99.590843345254868</c:v>
                </c:pt>
                <c:pt idx="946">
                  <c:v>117.82662059849213</c:v>
                </c:pt>
                <c:pt idx="947">
                  <c:v>100.62388005679621</c:v>
                </c:pt>
                <c:pt idx="948">
                  <c:v>89.924138140142915</c:v>
                </c:pt>
                <c:pt idx="949">
                  <c:v>126.60376288647862</c:v>
                </c:pt>
                <c:pt idx="950">
                  <c:v>90.136090196320907</c:v>
                </c:pt>
                <c:pt idx="951">
                  <c:v>74.288774494830022</c:v>
                </c:pt>
                <c:pt idx="952">
                  <c:v>90.794755151936613</c:v>
                </c:pt>
                <c:pt idx="953">
                  <c:v>106.47671573429079</c:v>
                </c:pt>
                <c:pt idx="954">
                  <c:v>119.43449717231219</c:v>
                </c:pt>
                <c:pt idx="955">
                  <c:v>167.28663040697359</c:v>
                </c:pt>
                <c:pt idx="956">
                  <c:v>70.200043674962544</c:v>
                </c:pt>
                <c:pt idx="957">
                  <c:v>93.269637861781746</c:v>
                </c:pt>
                <c:pt idx="958">
                  <c:v>105.18590802036537</c:v>
                </c:pt>
                <c:pt idx="959">
                  <c:v>78.573348706355745</c:v>
                </c:pt>
                <c:pt idx="960">
                  <c:v>136.48261281683162</c:v>
                </c:pt>
                <c:pt idx="961">
                  <c:v>72.512495178228377</c:v>
                </c:pt>
                <c:pt idx="962">
                  <c:v>68.501181280922239</c:v>
                </c:pt>
                <c:pt idx="963">
                  <c:v>118.65101991921621</c:v>
                </c:pt>
                <c:pt idx="964">
                  <c:v>99.013519635388832</c:v>
                </c:pt>
                <c:pt idx="965">
                  <c:v>123.9790233924594</c:v>
                </c:pt>
                <c:pt idx="966">
                  <c:v>104.33373844201705</c:v>
                </c:pt>
                <c:pt idx="967">
                  <c:v>70.446824800165103</c:v>
                </c:pt>
                <c:pt idx="968">
                  <c:v>108.13733075971749</c:v>
                </c:pt>
                <c:pt idx="969">
                  <c:v>161.60320871907786</c:v>
                </c:pt>
                <c:pt idx="970">
                  <c:v>92.530847851353485</c:v>
                </c:pt>
                <c:pt idx="971">
                  <c:v>184.18671680603725</c:v>
                </c:pt>
                <c:pt idx="972">
                  <c:v>101.32157446232938</c:v>
                </c:pt>
                <c:pt idx="973">
                  <c:v>118.85351222764812</c:v>
                </c:pt>
                <c:pt idx="974">
                  <c:v>121.92056318716904</c:v>
                </c:pt>
                <c:pt idx="975">
                  <c:v>88.471891882302188</c:v>
                </c:pt>
                <c:pt idx="976">
                  <c:v>107.99300393867293</c:v>
                </c:pt>
                <c:pt idx="977">
                  <c:v>109.24033945644595</c:v>
                </c:pt>
                <c:pt idx="978">
                  <c:v>92.002023554059363</c:v>
                </c:pt>
                <c:pt idx="979">
                  <c:v>76.616384766029356</c:v>
                </c:pt>
                <c:pt idx="980">
                  <c:v>84.407061942181585</c:v>
                </c:pt>
                <c:pt idx="981">
                  <c:v>124.0427785341757</c:v>
                </c:pt>
                <c:pt idx="982">
                  <c:v>117.61156350407225</c:v>
                </c:pt>
                <c:pt idx="983">
                  <c:v>118.74642675781799</c:v>
                </c:pt>
                <c:pt idx="984">
                  <c:v>90.027768313392471</c:v>
                </c:pt>
                <c:pt idx="985">
                  <c:v>88.69982957113227</c:v>
                </c:pt>
                <c:pt idx="986">
                  <c:v>86.865545028091546</c:v>
                </c:pt>
                <c:pt idx="987">
                  <c:v>115.38528607797839</c:v>
                </c:pt>
                <c:pt idx="988">
                  <c:v>86.357220157489522</c:v>
                </c:pt>
                <c:pt idx="989">
                  <c:v>124.50234584772271</c:v>
                </c:pt>
                <c:pt idx="990">
                  <c:v>83.802782799292075</c:v>
                </c:pt>
                <c:pt idx="991">
                  <c:v>112.82384577077043</c:v>
                </c:pt>
                <c:pt idx="992">
                  <c:v>104.06854274068235</c:v>
                </c:pt>
                <c:pt idx="993">
                  <c:v>107.83743804357498</c:v>
                </c:pt>
                <c:pt idx="994">
                  <c:v>145.95749767552292</c:v>
                </c:pt>
                <c:pt idx="995">
                  <c:v>113.18638093792119</c:v>
                </c:pt>
                <c:pt idx="996">
                  <c:v>105.85924530694859</c:v>
                </c:pt>
                <c:pt idx="997">
                  <c:v>158.02757095723939</c:v>
                </c:pt>
                <c:pt idx="998">
                  <c:v>85.499214316162139</c:v>
                </c:pt>
                <c:pt idx="999">
                  <c:v>141.17328959426689</c:v>
                </c:pt>
              </c:numCache>
            </c:numRef>
          </c:xVal>
          <c:yVal>
            <c:numRef>
              <c:f>Sheet1!$T$2:$T$1001</c:f>
              <c:numCache>
                <c:formatCode>General</c:formatCode>
                <c:ptCount val="1000"/>
                <c:pt idx="0">
                  <c:v>-4.0527741239244133</c:v>
                </c:pt>
                <c:pt idx="1">
                  <c:v>-2.5608159603774183</c:v>
                </c:pt>
                <c:pt idx="2">
                  <c:v>4.2963424086830742</c:v>
                </c:pt>
                <c:pt idx="3">
                  <c:v>32.470982489938123</c:v>
                </c:pt>
                <c:pt idx="4">
                  <c:v>2.4655795967614318</c:v>
                </c:pt>
                <c:pt idx="5">
                  <c:v>6.6036801357184203</c:v>
                </c:pt>
                <c:pt idx="6">
                  <c:v>7.93529707111324</c:v>
                </c:pt>
                <c:pt idx="7">
                  <c:v>1.207083750660193</c:v>
                </c:pt>
                <c:pt idx="8">
                  <c:v>0.60610745872082283</c:v>
                </c:pt>
                <c:pt idx="9">
                  <c:v>40.39124131639511</c:v>
                </c:pt>
                <c:pt idx="10">
                  <c:v>-0.15893300884620443</c:v>
                </c:pt>
                <c:pt idx="11">
                  <c:v>49.082531769649776</c:v>
                </c:pt>
                <c:pt idx="12">
                  <c:v>-1.3824711091255988</c:v>
                </c:pt>
                <c:pt idx="13">
                  <c:v>0.15908582024010101</c:v>
                </c:pt>
                <c:pt idx="14">
                  <c:v>4.8693500424554657</c:v>
                </c:pt>
                <c:pt idx="15">
                  <c:v>5.4317872893380752</c:v>
                </c:pt>
                <c:pt idx="16">
                  <c:v>0.85575648099804624</c:v>
                </c:pt>
                <c:pt idx="17">
                  <c:v>-1.862709297893133</c:v>
                </c:pt>
                <c:pt idx="18">
                  <c:v>-1.5435868250238052</c:v>
                </c:pt>
                <c:pt idx="19">
                  <c:v>8.7455578199713528</c:v>
                </c:pt>
                <c:pt idx="20">
                  <c:v>-1.6320230216204192</c:v>
                </c:pt>
                <c:pt idx="21">
                  <c:v>-8.2164624244899689E-2</c:v>
                </c:pt>
                <c:pt idx="22">
                  <c:v>1.0710412813762922</c:v>
                </c:pt>
                <c:pt idx="23">
                  <c:v>47.550839660785186</c:v>
                </c:pt>
                <c:pt idx="24">
                  <c:v>7.0254607532333324</c:v>
                </c:pt>
                <c:pt idx="25">
                  <c:v>8.0585070551818916</c:v>
                </c:pt>
                <c:pt idx="26">
                  <c:v>20.855998907325613</c:v>
                </c:pt>
                <c:pt idx="27">
                  <c:v>1.8502898455147658</c:v>
                </c:pt>
                <c:pt idx="28">
                  <c:v>3.3421530032807993</c:v>
                </c:pt>
                <c:pt idx="29">
                  <c:v>-1.1185389836988151</c:v>
                </c:pt>
                <c:pt idx="30">
                  <c:v>22.264215978399648</c:v>
                </c:pt>
                <c:pt idx="31">
                  <c:v>7.5380272512893143E-2</c:v>
                </c:pt>
                <c:pt idx="32">
                  <c:v>47.353783156520763</c:v>
                </c:pt>
                <c:pt idx="33">
                  <c:v>1.488545023663832</c:v>
                </c:pt>
                <c:pt idx="34">
                  <c:v>9.6672318851471886</c:v>
                </c:pt>
                <c:pt idx="35">
                  <c:v>-0.3178158862717948</c:v>
                </c:pt>
                <c:pt idx="36">
                  <c:v>-1.5546422164180493</c:v>
                </c:pt>
                <c:pt idx="37">
                  <c:v>-3.616097416148329</c:v>
                </c:pt>
                <c:pt idx="38">
                  <c:v>1.7221378299524481</c:v>
                </c:pt>
                <c:pt idx="39">
                  <c:v>-0.87178266902243839</c:v>
                </c:pt>
                <c:pt idx="40">
                  <c:v>2.0012896600693963</c:v>
                </c:pt>
                <c:pt idx="41">
                  <c:v>10.607781959344138</c:v>
                </c:pt>
                <c:pt idx="42">
                  <c:v>0.78699558383962254</c:v>
                </c:pt>
                <c:pt idx="43">
                  <c:v>-0.77237130146056021</c:v>
                </c:pt>
                <c:pt idx="44">
                  <c:v>1.7725672899881335</c:v>
                </c:pt>
                <c:pt idx="45">
                  <c:v>37.381724359361925</c:v>
                </c:pt>
                <c:pt idx="46">
                  <c:v>-2.2559154173582598</c:v>
                </c:pt>
                <c:pt idx="47">
                  <c:v>3.4518094326895259</c:v>
                </c:pt>
                <c:pt idx="48">
                  <c:v>-0.34336977266067403</c:v>
                </c:pt>
                <c:pt idx="49">
                  <c:v>-2.634802917646534</c:v>
                </c:pt>
                <c:pt idx="50">
                  <c:v>0.39112065267952822</c:v>
                </c:pt>
                <c:pt idx="51">
                  <c:v>3.7602347015434958</c:v>
                </c:pt>
                <c:pt idx="52">
                  <c:v>9.0723762328233875</c:v>
                </c:pt>
                <c:pt idx="53">
                  <c:v>31.873540437713103</c:v>
                </c:pt>
                <c:pt idx="54">
                  <c:v>34.033435133521422</c:v>
                </c:pt>
                <c:pt idx="55">
                  <c:v>1.5652140640120713</c:v>
                </c:pt>
                <c:pt idx="56">
                  <c:v>22.746270426896913</c:v>
                </c:pt>
                <c:pt idx="57">
                  <c:v>23.870857474364286</c:v>
                </c:pt>
                <c:pt idx="58">
                  <c:v>3.9791337457114651</c:v>
                </c:pt>
                <c:pt idx="59">
                  <c:v>22.070370796879004</c:v>
                </c:pt>
                <c:pt idx="60">
                  <c:v>17.954838795215935</c:v>
                </c:pt>
                <c:pt idx="61">
                  <c:v>27.468577998725053</c:v>
                </c:pt>
                <c:pt idx="62">
                  <c:v>9.6890136806715266E-2</c:v>
                </c:pt>
                <c:pt idx="63">
                  <c:v>1.2805709512598102</c:v>
                </c:pt>
                <c:pt idx="64">
                  <c:v>5.9812180474696106</c:v>
                </c:pt>
                <c:pt idx="65">
                  <c:v>51.01967102852673</c:v>
                </c:pt>
                <c:pt idx="66">
                  <c:v>14.517841250979103</c:v>
                </c:pt>
                <c:pt idx="67">
                  <c:v>-0.87544046737489667</c:v>
                </c:pt>
                <c:pt idx="68">
                  <c:v>-1.7799814543011934</c:v>
                </c:pt>
                <c:pt idx="69">
                  <c:v>10.237513072984598</c:v>
                </c:pt>
                <c:pt idx="70">
                  <c:v>2.5931867654649352</c:v>
                </c:pt>
                <c:pt idx="71">
                  <c:v>41.088646828910967</c:v>
                </c:pt>
                <c:pt idx="72">
                  <c:v>2.1412495846838762</c:v>
                </c:pt>
                <c:pt idx="73">
                  <c:v>2.2574382962006041</c:v>
                </c:pt>
                <c:pt idx="74">
                  <c:v>19.790940563039953</c:v>
                </c:pt>
                <c:pt idx="75">
                  <c:v>0.92426552362213954</c:v>
                </c:pt>
                <c:pt idx="76">
                  <c:v>1.8190278143033742</c:v>
                </c:pt>
                <c:pt idx="77">
                  <c:v>1.7288016883569046</c:v>
                </c:pt>
                <c:pt idx="78">
                  <c:v>-1.0717407347692642</c:v>
                </c:pt>
                <c:pt idx="79">
                  <c:v>5.2465334487815767</c:v>
                </c:pt>
                <c:pt idx="80">
                  <c:v>-2.0894912020675775</c:v>
                </c:pt>
                <c:pt idx="81">
                  <c:v>1.2307778831768843</c:v>
                </c:pt>
                <c:pt idx="82">
                  <c:v>-2.5667351215854226</c:v>
                </c:pt>
                <c:pt idx="83">
                  <c:v>-1.278079629739743</c:v>
                </c:pt>
                <c:pt idx="84">
                  <c:v>-0.9735537812565056</c:v>
                </c:pt>
                <c:pt idx="85">
                  <c:v>-2.4018075897904265</c:v>
                </c:pt>
                <c:pt idx="86">
                  <c:v>8.5667091670542561</c:v>
                </c:pt>
                <c:pt idx="87">
                  <c:v>37.574968871253574</c:v>
                </c:pt>
                <c:pt idx="88">
                  <c:v>19.801523077672883</c:v>
                </c:pt>
                <c:pt idx="89">
                  <c:v>20.298460242211377</c:v>
                </c:pt>
                <c:pt idx="90">
                  <c:v>3.0408682630464927</c:v>
                </c:pt>
                <c:pt idx="91">
                  <c:v>2.7751836797628826</c:v>
                </c:pt>
                <c:pt idx="92">
                  <c:v>2.0558642742044242</c:v>
                </c:pt>
                <c:pt idx="93">
                  <c:v>1.4187041144126384</c:v>
                </c:pt>
                <c:pt idx="94">
                  <c:v>1.5289523901454638</c:v>
                </c:pt>
                <c:pt idx="95">
                  <c:v>-0.9226432840665737</c:v>
                </c:pt>
                <c:pt idx="96">
                  <c:v>2.6500320113344316</c:v>
                </c:pt>
                <c:pt idx="97">
                  <c:v>7.7941948396755834</c:v>
                </c:pt>
                <c:pt idx="98">
                  <c:v>-0.26342944045315231</c:v>
                </c:pt>
                <c:pt idx="99">
                  <c:v>12.716932969152964</c:v>
                </c:pt>
                <c:pt idx="100">
                  <c:v>6.606790437137775</c:v>
                </c:pt>
                <c:pt idx="101">
                  <c:v>-1.6757252605956694</c:v>
                </c:pt>
                <c:pt idx="102">
                  <c:v>-5.756161584801589E-2</c:v>
                </c:pt>
                <c:pt idx="103">
                  <c:v>3.1716768479160464</c:v>
                </c:pt>
                <c:pt idx="104">
                  <c:v>4.8340707877647588</c:v>
                </c:pt>
                <c:pt idx="105">
                  <c:v>1.0268632129118005</c:v>
                </c:pt>
                <c:pt idx="106">
                  <c:v>1.2509847290425871</c:v>
                </c:pt>
                <c:pt idx="107">
                  <c:v>-2.7327515119524453</c:v>
                </c:pt>
                <c:pt idx="108">
                  <c:v>27.383249566857913</c:v>
                </c:pt>
                <c:pt idx="109">
                  <c:v>50.999404799621018</c:v>
                </c:pt>
                <c:pt idx="110">
                  <c:v>-1.9361309702622602</c:v>
                </c:pt>
                <c:pt idx="111">
                  <c:v>51.714495315611529</c:v>
                </c:pt>
                <c:pt idx="112">
                  <c:v>1.7369574879154419</c:v>
                </c:pt>
                <c:pt idx="113">
                  <c:v>0.87737750131292214</c:v>
                </c:pt>
                <c:pt idx="114">
                  <c:v>5.4251822995446446</c:v>
                </c:pt>
                <c:pt idx="115">
                  <c:v>33.330479013305705</c:v>
                </c:pt>
                <c:pt idx="116">
                  <c:v>11.042480546028827</c:v>
                </c:pt>
                <c:pt idx="117">
                  <c:v>25.792099619619719</c:v>
                </c:pt>
                <c:pt idx="118">
                  <c:v>0.68895320031549301</c:v>
                </c:pt>
                <c:pt idx="119">
                  <c:v>1.617390471584045</c:v>
                </c:pt>
                <c:pt idx="120">
                  <c:v>17.658227202751092</c:v>
                </c:pt>
                <c:pt idx="121">
                  <c:v>5.1098318916574357</c:v>
                </c:pt>
                <c:pt idx="122">
                  <c:v>3.09584015350024</c:v>
                </c:pt>
                <c:pt idx="123">
                  <c:v>12.464497489487286</c:v>
                </c:pt>
                <c:pt idx="124">
                  <c:v>1.1624106951130297</c:v>
                </c:pt>
                <c:pt idx="125">
                  <c:v>27.755369088335442</c:v>
                </c:pt>
                <c:pt idx="126">
                  <c:v>-1.4392990822957348</c:v>
                </c:pt>
                <c:pt idx="127">
                  <c:v>-0.80607336570586519</c:v>
                </c:pt>
                <c:pt idx="128">
                  <c:v>-0.63795663906904065</c:v>
                </c:pt>
                <c:pt idx="129">
                  <c:v>15.941557801044254</c:v>
                </c:pt>
                <c:pt idx="130">
                  <c:v>27.008956893417988</c:v>
                </c:pt>
                <c:pt idx="131">
                  <c:v>4.0160593581166495</c:v>
                </c:pt>
                <c:pt idx="132">
                  <c:v>52.279040342853946</c:v>
                </c:pt>
                <c:pt idx="133">
                  <c:v>1.4633511311927663</c:v>
                </c:pt>
                <c:pt idx="134">
                  <c:v>27.724162489521163</c:v>
                </c:pt>
                <c:pt idx="135">
                  <c:v>-4.4502852171208547</c:v>
                </c:pt>
                <c:pt idx="136">
                  <c:v>25.916052522315582</c:v>
                </c:pt>
                <c:pt idx="137">
                  <c:v>30.649311403006493</c:v>
                </c:pt>
                <c:pt idx="138">
                  <c:v>51.849261039813328</c:v>
                </c:pt>
                <c:pt idx="139">
                  <c:v>4.335158659256258E-2</c:v>
                </c:pt>
                <c:pt idx="140">
                  <c:v>2.6428157790799673</c:v>
                </c:pt>
                <c:pt idx="141">
                  <c:v>4.4351752677331149</c:v>
                </c:pt>
                <c:pt idx="142">
                  <c:v>0.78114191215538764</c:v>
                </c:pt>
                <c:pt idx="143">
                  <c:v>15.967201579494969</c:v>
                </c:pt>
                <c:pt idx="144">
                  <c:v>44.955965383390151</c:v>
                </c:pt>
                <c:pt idx="145">
                  <c:v>-1.1449525741152837</c:v>
                </c:pt>
                <c:pt idx="146">
                  <c:v>49.774879603115195</c:v>
                </c:pt>
                <c:pt idx="147">
                  <c:v>-1.3466370928737321</c:v>
                </c:pt>
                <c:pt idx="148">
                  <c:v>28.476788157334681</c:v>
                </c:pt>
                <c:pt idx="149">
                  <c:v>12.134309985032544</c:v>
                </c:pt>
                <c:pt idx="150">
                  <c:v>-2.9908856161040016</c:v>
                </c:pt>
                <c:pt idx="151">
                  <c:v>3.3839021629971491</c:v>
                </c:pt>
                <c:pt idx="152">
                  <c:v>-1.6729806734404988</c:v>
                </c:pt>
                <c:pt idx="153">
                  <c:v>-0.28915588906760425</c:v>
                </c:pt>
                <c:pt idx="154">
                  <c:v>27.208026696177001</c:v>
                </c:pt>
                <c:pt idx="155">
                  <c:v>24.256168877054918</c:v>
                </c:pt>
                <c:pt idx="156">
                  <c:v>81.096011065005939</c:v>
                </c:pt>
                <c:pt idx="157">
                  <c:v>7.9981430426066709</c:v>
                </c:pt>
                <c:pt idx="158">
                  <c:v>15.988265437117377</c:v>
                </c:pt>
                <c:pt idx="159">
                  <c:v>44.426653102516653</c:v>
                </c:pt>
                <c:pt idx="160">
                  <c:v>-0.78302063730183846</c:v>
                </c:pt>
                <c:pt idx="161">
                  <c:v>44.915234361007478</c:v>
                </c:pt>
                <c:pt idx="162">
                  <c:v>3.1466927799145523</c:v>
                </c:pt>
                <c:pt idx="163">
                  <c:v>26.304915003181904</c:v>
                </c:pt>
                <c:pt idx="164">
                  <c:v>16.324249664937653</c:v>
                </c:pt>
                <c:pt idx="165">
                  <c:v>5.922725282817197</c:v>
                </c:pt>
                <c:pt idx="166">
                  <c:v>13.001464975659616</c:v>
                </c:pt>
                <c:pt idx="167">
                  <c:v>0.67044483388109111</c:v>
                </c:pt>
                <c:pt idx="168">
                  <c:v>1.3483141874844944E-2</c:v>
                </c:pt>
                <c:pt idx="169">
                  <c:v>5.3175745478289684</c:v>
                </c:pt>
                <c:pt idx="170">
                  <c:v>13.00867450556315</c:v>
                </c:pt>
                <c:pt idx="171">
                  <c:v>7.0400626588488677</c:v>
                </c:pt>
                <c:pt idx="172">
                  <c:v>10.922299855757373</c:v>
                </c:pt>
                <c:pt idx="173">
                  <c:v>-0.88707713709605374</c:v>
                </c:pt>
                <c:pt idx="174">
                  <c:v>0.27698738434546277</c:v>
                </c:pt>
                <c:pt idx="175">
                  <c:v>-1.4289712005270832</c:v>
                </c:pt>
                <c:pt idx="176">
                  <c:v>-1.1028242498567542</c:v>
                </c:pt>
                <c:pt idx="177">
                  <c:v>-1.3579248605074354</c:v>
                </c:pt>
                <c:pt idx="178">
                  <c:v>27.976823521651738</c:v>
                </c:pt>
                <c:pt idx="179">
                  <c:v>1.0125912140605069</c:v>
                </c:pt>
                <c:pt idx="180">
                  <c:v>17.45803579905639</c:v>
                </c:pt>
                <c:pt idx="181">
                  <c:v>14.190344729033114</c:v>
                </c:pt>
                <c:pt idx="182">
                  <c:v>5.8183171331224241E-2</c:v>
                </c:pt>
                <c:pt idx="183">
                  <c:v>-3.3268077452571201</c:v>
                </c:pt>
                <c:pt idx="184">
                  <c:v>0.30151903879473935</c:v>
                </c:pt>
                <c:pt idx="185">
                  <c:v>2.2513406071662789</c:v>
                </c:pt>
                <c:pt idx="186">
                  <c:v>-1.6137777113865239</c:v>
                </c:pt>
                <c:pt idx="187">
                  <c:v>27.899010843087382</c:v>
                </c:pt>
                <c:pt idx="188">
                  <c:v>-0.97573105892712753</c:v>
                </c:pt>
                <c:pt idx="189">
                  <c:v>-1.5225191938735128</c:v>
                </c:pt>
                <c:pt idx="190">
                  <c:v>1.1873141081959966</c:v>
                </c:pt>
                <c:pt idx="191">
                  <c:v>40.709908169751614</c:v>
                </c:pt>
                <c:pt idx="192">
                  <c:v>18.607785357202062</c:v>
                </c:pt>
                <c:pt idx="193">
                  <c:v>25.590177445886226</c:v>
                </c:pt>
                <c:pt idx="194">
                  <c:v>1.0732619661052745</c:v>
                </c:pt>
                <c:pt idx="195">
                  <c:v>1.8939542461252379</c:v>
                </c:pt>
                <c:pt idx="196">
                  <c:v>7.518219969961662E-2</c:v>
                </c:pt>
                <c:pt idx="197">
                  <c:v>0.73456333664958107</c:v>
                </c:pt>
                <c:pt idx="198">
                  <c:v>0.47583336751111904</c:v>
                </c:pt>
                <c:pt idx="199">
                  <c:v>1.1752818516959624</c:v>
                </c:pt>
                <c:pt idx="200">
                  <c:v>26.179778952945995</c:v>
                </c:pt>
                <c:pt idx="201">
                  <c:v>-1.0688293614153745</c:v>
                </c:pt>
                <c:pt idx="202">
                  <c:v>43.929276081791727</c:v>
                </c:pt>
                <c:pt idx="203">
                  <c:v>2.4719368806713078</c:v>
                </c:pt>
                <c:pt idx="204">
                  <c:v>-0.95113101897342789</c:v>
                </c:pt>
                <c:pt idx="205">
                  <c:v>-3.2307666145046703</c:v>
                </c:pt>
                <c:pt idx="206">
                  <c:v>0.34227578182727125</c:v>
                </c:pt>
                <c:pt idx="207">
                  <c:v>11.027941935530606</c:v>
                </c:pt>
                <c:pt idx="208">
                  <c:v>17.833262150233978</c:v>
                </c:pt>
                <c:pt idx="209">
                  <c:v>15.417251401434086</c:v>
                </c:pt>
                <c:pt idx="210">
                  <c:v>6.9104267663814483</c:v>
                </c:pt>
                <c:pt idx="211">
                  <c:v>0.45227444291365515</c:v>
                </c:pt>
                <c:pt idx="212">
                  <c:v>16.068859139833691</c:v>
                </c:pt>
                <c:pt idx="213">
                  <c:v>12.270174343197553</c:v>
                </c:pt>
                <c:pt idx="214">
                  <c:v>15.400621196328089</c:v>
                </c:pt>
                <c:pt idx="215">
                  <c:v>-6.5724288843702183E-2</c:v>
                </c:pt>
                <c:pt idx="216">
                  <c:v>19.860432103845042</c:v>
                </c:pt>
                <c:pt idx="217">
                  <c:v>44.375703268974945</c:v>
                </c:pt>
                <c:pt idx="218">
                  <c:v>0.82662917164876148</c:v>
                </c:pt>
                <c:pt idx="219">
                  <c:v>-2.7317348729232194E-2</c:v>
                </c:pt>
                <c:pt idx="220">
                  <c:v>8.8858257261754687</c:v>
                </c:pt>
                <c:pt idx="221">
                  <c:v>9.4157261166270416</c:v>
                </c:pt>
                <c:pt idx="222">
                  <c:v>2.6703910972040461</c:v>
                </c:pt>
                <c:pt idx="223">
                  <c:v>0.48554579759992067</c:v>
                </c:pt>
                <c:pt idx="224">
                  <c:v>-0.26303853978587582</c:v>
                </c:pt>
                <c:pt idx="225">
                  <c:v>-4.1050529809189218E-2</c:v>
                </c:pt>
                <c:pt idx="226">
                  <c:v>0.74378490561460797</c:v>
                </c:pt>
                <c:pt idx="227">
                  <c:v>0.69237178068365646</c:v>
                </c:pt>
                <c:pt idx="228">
                  <c:v>17.272529391369517</c:v>
                </c:pt>
                <c:pt idx="229">
                  <c:v>5.6718053474169636</c:v>
                </c:pt>
                <c:pt idx="230">
                  <c:v>19.903324781663343</c:v>
                </c:pt>
                <c:pt idx="231">
                  <c:v>-0.38765578589529404</c:v>
                </c:pt>
                <c:pt idx="232">
                  <c:v>2.9863729213453638</c:v>
                </c:pt>
                <c:pt idx="233">
                  <c:v>-0.80944425270932807</c:v>
                </c:pt>
                <c:pt idx="234">
                  <c:v>5.7098604441818204E-2</c:v>
                </c:pt>
                <c:pt idx="235">
                  <c:v>47.755992168105621</c:v>
                </c:pt>
                <c:pt idx="236">
                  <c:v>1.0848047810017973</c:v>
                </c:pt>
                <c:pt idx="237">
                  <c:v>6.314603424536628</c:v>
                </c:pt>
                <c:pt idx="238">
                  <c:v>2.0239848810938899</c:v>
                </c:pt>
                <c:pt idx="239">
                  <c:v>25.062254148849547</c:v>
                </c:pt>
                <c:pt idx="240">
                  <c:v>16.760427548934018</c:v>
                </c:pt>
                <c:pt idx="241">
                  <c:v>8.4207713183053272</c:v>
                </c:pt>
                <c:pt idx="242">
                  <c:v>4.5542823577644262E-2</c:v>
                </c:pt>
                <c:pt idx="243">
                  <c:v>20.568025293834097</c:v>
                </c:pt>
                <c:pt idx="244">
                  <c:v>14.557408979876499</c:v>
                </c:pt>
                <c:pt idx="245">
                  <c:v>42.617165874164712</c:v>
                </c:pt>
                <c:pt idx="246">
                  <c:v>11.482349594088319</c:v>
                </c:pt>
                <c:pt idx="247">
                  <c:v>30.776186419850632</c:v>
                </c:pt>
                <c:pt idx="248">
                  <c:v>23.765876191854801</c:v>
                </c:pt>
                <c:pt idx="249">
                  <c:v>39.979632488978751</c:v>
                </c:pt>
                <c:pt idx="250">
                  <c:v>10.759948844771159</c:v>
                </c:pt>
                <c:pt idx="251">
                  <c:v>2.0546200575259093</c:v>
                </c:pt>
                <c:pt idx="252">
                  <c:v>-0.83960929177488453</c:v>
                </c:pt>
                <c:pt idx="253">
                  <c:v>14.795930467534092</c:v>
                </c:pt>
                <c:pt idx="254">
                  <c:v>48.403887720632284</c:v>
                </c:pt>
                <c:pt idx="255">
                  <c:v>-0.47248853370648475</c:v>
                </c:pt>
                <c:pt idx="256">
                  <c:v>16.673510368134615</c:v>
                </c:pt>
                <c:pt idx="257">
                  <c:v>-0.73081402350340441</c:v>
                </c:pt>
                <c:pt idx="258">
                  <c:v>25.8878318597733</c:v>
                </c:pt>
                <c:pt idx="259">
                  <c:v>0.84880760095181262</c:v>
                </c:pt>
                <c:pt idx="260">
                  <c:v>30.092014157358349</c:v>
                </c:pt>
                <c:pt idx="261">
                  <c:v>31.943268462843022</c:v>
                </c:pt>
                <c:pt idx="262">
                  <c:v>0.90010037376352436</c:v>
                </c:pt>
                <c:pt idx="263">
                  <c:v>23.226323390816205</c:v>
                </c:pt>
                <c:pt idx="264">
                  <c:v>-2.0480986382329354</c:v>
                </c:pt>
                <c:pt idx="265">
                  <c:v>4.4093467222952043E-2</c:v>
                </c:pt>
                <c:pt idx="266">
                  <c:v>1.6374688474057413</c:v>
                </c:pt>
                <c:pt idx="267">
                  <c:v>-1.4043296113276653</c:v>
                </c:pt>
                <c:pt idx="268">
                  <c:v>-0.58775793607462123</c:v>
                </c:pt>
                <c:pt idx="269">
                  <c:v>19.750218536669109</c:v>
                </c:pt>
                <c:pt idx="270">
                  <c:v>4.1105796033250783</c:v>
                </c:pt>
                <c:pt idx="271">
                  <c:v>13.040118210612235</c:v>
                </c:pt>
                <c:pt idx="272">
                  <c:v>5.0466830204622539</c:v>
                </c:pt>
                <c:pt idx="273">
                  <c:v>1.1589367343216843</c:v>
                </c:pt>
                <c:pt idx="274">
                  <c:v>-1.1391051843669793</c:v>
                </c:pt>
                <c:pt idx="275">
                  <c:v>22.915645589442292</c:v>
                </c:pt>
                <c:pt idx="276">
                  <c:v>26.919762588643252</c:v>
                </c:pt>
                <c:pt idx="277">
                  <c:v>0.57183889300196733</c:v>
                </c:pt>
                <c:pt idx="278">
                  <c:v>-0.20057247058537314</c:v>
                </c:pt>
                <c:pt idx="279">
                  <c:v>22.539307613233547</c:v>
                </c:pt>
                <c:pt idx="280">
                  <c:v>-1.3344746398225709</c:v>
                </c:pt>
                <c:pt idx="281">
                  <c:v>-0.47957863438057302</c:v>
                </c:pt>
                <c:pt idx="282">
                  <c:v>-1.0975600585113092</c:v>
                </c:pt>
                <c:pt idx="283">
                  <c:v>2.459074713438441</c:v>
                </c:pt>
                <c:pt idx="284">
                  <c:v>-2.1626902695506596</c:v>
                </c:pt>
                <c:pt idx="285">
                  <c:v>-4.7034380036834023E-2</c:v>
                </c:pt>
                <c:pt idx="286">
                  <c:v>7.3298779633689009</c:v>
                </c:pt>
                <c:pt idx="287">
                  <c:v>18.486831473188531</c:v>
                </c:pt>
                <c:pt idx="288">
                  <c:v>-0.49063227684613475</c:v>
                </c:pt>
                <c:pt idx="289">
                  <c:v>1.5309755982050786</c:v>
                </c:pt>
                <c:pt idx="290">
                  <c:v>32.429899894506676</c:v>
                </c:pt>
                <c:pt idx="291">
                  <c:v>-0.70733308386102456</c:v>
                </c:pt>
                <c:pt idx="292">
                  <c:v>11.691063706115941</c:v>
                </c:pt>
                <c:pt idx="293">
                  <c:v>21.799692291771208</c:v>
                </c:pt>
                <c:pt idx="294">
                  <c:v>28.318705141647953</c:v>
                </c:pt>
                <c:pt idx="295">
                  <c:v>14.846089754346536</c:v>
                </c:pt>
                <c:pt idx="296">
                  <c:v>11.782928638072008</c:v>
                </c:pt>
                <c:pt idx="297">
                  <c:v>-0.91072863099002821</c:v>
                </c:pt>
                <c:pt idx="298">
                  <c:v>9.9870326823506161E-2</c:v>
                </c:pt>
                <c:pt idx="299">
                  <c:v>43.902676354112401</c:v>
                </c:pt>
                <c:pt idx="300">
                  <c:v>-0.83511543589125248</c:v>
                </c:pt>
                <c:pt idx="301">
                  <c:v>-1.0366984226878715</c:v>
                </c:pt>
                <c:pt idx="302">
                  <c:v>-3.3818744422944746E-2</c:v>
                </c:pt>
                <c:pt idx="303">
                  <c:v>0.85678102118561594</c:v>
                </c:pt>
                <c:pt idx="304">
                  <c:v>97.407407445391854</c:v>
                </c:pt>
                <c:pt idx="305">
                  <c:v>23.525862956868863</c:v>
                </c:pt>
                <c:pt idx="306">
                  <c:v>0.60722955245648058</c:v>
                </c:pt>
                <c:pt idx="307">
                  <c:v>1.0431489261290554</c:v>
                </c:pt>
                <c:pt idx="308">
                  <c:v>-1.2001163956784313</c:v>
                </c:pt>
                <c:pt idx="309">
                  <c:v>2.5181490464198788</c:v>
                </c:pt>
                <c:pt idx="310">
                  <c:v>4.8196735831066917</c:v>
                </c:pt>
                <c:pt idx="311">
                  <c:v>-0.59191965829165083</c:v>
                </c:pt>
                <c:pt idx="312">
                  <c:v>-0.84020145802469781</c:v>
                </c:pt>
                <c:pt idx="313">
                  <c:v>24.678694926737464</c:v>
                </c:pt>
                <c:pt idx="314">
                  <c:v>14.248159091292209</c:v>
                </c:pt>
                <c:pt idx="315">
                  <c:v>10.402171981483974</c:v>
                </c:pt>
                <c:pt idx="316">
                  <c:v>7.2626830840217167</c:v>
                </c:pt>
                <c:pt idx="317">
                  <c:v>11.486181169630228</c:v>
                </c:pt>
                <c:pt idx="318">
                  <c:v>7.5664076615652647</c:v>
                </c:pt>
                <c:pt idx="319">
                  <c:v>-0.22100914797632931</c:v>
                </c:pt>
                <c:pt idx="320">
                  <c:v>3.2943718272988463</c:v>
                </c:pt>
                <c:pt idx="321">
                  <c:v>0.47988589806111892</c:v>
                </c:pt>
                <c:pt idx="322">
                  <c:v>21.09962483238607</c:v>
                </c:pt>
                <c:pt idx="323">
                  <c:v>7.4872153701636677</c:v>
                </c:pt>
                <c:pt idx="324">
                  <c:v>-0.28434038445965526</c:v>
                </c:pt>
                <c:pt idx="325">
                  <c:v>8.2660494719624751</c:v>
                </c:pt>
                <c:pt idx="326">
                  <c:v>18.020811262459461</c:v>
                </c:pt>
                <c:pt idx="327">
                  <c:v>11.107863922490736</c:v>
                </c:pt>
                <c:pt idx="328">
                  <c:v>2.3820821986884457</c:v>
                </c:pt>
                <c:pt idx="329">
                  <c:v>27.966913595317749</c:v>
                </c:pt>
                <c:pt idx="330">
                  <c:v>-0.88013869947327805</c:v>
                </c:pt>
                <c:pt idx="331">
                  <c:v>2.4616854741528869</c:v>
                </c:pt>
                <c:pt idx="332">
                  <c:v>-2.745202396645479</c:v>
                </c:pt>
                <c:pt idx="333">
                  <c:v>-1.4092367472306657</c:v>
                </c:pt>
                <c:pt idx="334">
                  <c:v>10.14053710279893</c:v>
                </c:pt>
                <c:pt idx="335">
                  <c:v>12.355946462512648</c:v>
                </c:pt>
                <c:pt idx="336">
                  <c:v>31.631291417315239</c:v>
                </c:pt>
                <c:pt idx="337">
                  <c:v>0.49973637985195035</c:v>
                </c:pt>
                <c:pt idx="338">
                  <c:v>25.005618976792562</c:v>
                </c:pt>
                <c:pt idx="339">
                  <c:v>-0.54971769784913249</c:v>
                </c:pt>
                <c:pt idx="340">
                  <c:v>11.645442546232275</c:v>
                </c:pt>
                <c:pt idx="341">
                  <c:v>28.013252271227174</c:v>
                </c:pt>
                <c:pt idx="342">
                  <c:v>30.37866403701409</c:v>
                </c:pt>
                <c:pt idx="343">
                  <c:v>19.765094745167673</c:v>
                </c:pt>
                <c:pt idx="344">
                  <c:v>6.6300483227973785</c:v>
                </c:pt>
                <c:pt idx="345">
                  <c:v>14.370130735382645</c:v>
                </c:pt>
                <c:pt idx="346">
                  <c:v>27.316250263754199</c:v>
                </c:pt>
                <c:pt idx="347">
                  <c:v>9.3156358839992635</c:v>
                </c:pt>
                <c:pt idx="348">
                  <c:v>9.7908876141566452</c:v>
                </c:pt>
                <c:pt idx="349">
                  <c:v>-1.1785184350601443</c:v>
                </c:pt>
                <c:pt idx="350">
                  <c:v>-1.3975367553827385</c:v>
                </c:pt>
                <c:pt idx="351">
                  <c:v>16.374212546606856</c:v>
                </c:pt>
                <c:pt idx="352">
                  <c:v>1.5791227225275293</c:v>
                </c:pt>
                <c:pt idx="353">
                  <c:v>0.35487224666754003</c:v>
                </c:pt>
                <c:pt idx="354">
                  <c:v>17.322218425096281</c:v>
                </c:pt>
                <c:pt idx="355">
                  <c:v>9.2225894444847825</c:v>
                </c:pt>
                <c:pt idx="356">
                  <c:v>0.44409046886720194</c:v>
                </c:pt>
                <c:pt idx="357">
                  <c:v>29.040438536545821</c:v>
                </c:pt>
                <c:pt idx="358">
                  <c:v>-0.20581457780711787</c:v>
                </c:pt>
                <c:pt idx="359">
                  <c:v>-0.10264073203410362</c:v>
                </c:pt>
                <c:pt idx="360">
                  <c:v>-2.8340884699625928</c:v>
                </c:pt>
                <c:pt idx="361">
                  <c:v>-0.16175845257486404</c:v>
                </c:pt>
                <c:pt idx="362">
                  <c:v>-5.4570676750290943</c:v>
                </c:pt>
                <c:pt idx="363">
                  <c:v>50.22143814677797</c:v>
                </c:pt>
                <c:pt idx="364">
                  <c:v>0.7596819458993842</c:v>
                </c:pt>
                <c:pt idx="365">
                  <c:v>27.464287433420253</c:v>
                </c:pt>
                <c:pt idx="366">
                  <c:v>2.7178518874632913</c:v>
                </c:pt>
                <c:pt idx="367">
                  <c:v>-0.83100076263324008</c:v>
                </c:pt>
                <c:pt idx="368">
                  <c:v>4.6808201583438489</c:v>
                </c:pt>
                <c:pt idx="369">
                  <c:v>-0.13669419497916713</c:v>
                </c:pt>
                <c:pt idx="370">
                  <c:v>1.8154327031684048</c:v>
                </c:pt>
                <c:pt idx="371">
                  <c:v>2.7100002569162172</c:v>
                </c:pt>
                <c:pt idx="372">
                  <c:v>22.681640617515114</c:v>
                </c:pt>
                <c:pt idx="373">
                  <c:v>0.61299176475920136</c:v>
                </c:pt>
                <c:pt idx="374">
                  <c:v>1.9576698088001994</c:v>
                </c:pt>
                <c:pt idx="375">
                  <c:v>0.31111544687961157</c:v>
                </c:pt>
                <c:pt idx="376">
                  <c:v>-1.3068978335115737</c:v>
                </c:pt>
                <c:pt idx="377">
                  <c:v>-0.35020195617047989</c:v>
                </c:pt>
                <c:pt idx="378">
                  <c:v>-0.59767366053720039</c:v>
                </c:pt>
                <c:pt idx="379">
                  <c:v>17.198473067290536</c:v>
                </c:pt>
                <c:pt idx="380">
                  <c:v>25.175822359130336</c:v>
                </c:pt>
                <c:pt idx="381">
                  <c:v>11.386372054853808</c:v>
                </c:pt>
                <c:pt idx="382">
                  <c:v>29.915963222781286</c:v>
                </c:pt>
                <c:pt idx="383">
                  <c:v>-1.8583755403427324</c:v>
                </c:pt>
                <c:pt idx="384">
                  <c:v>-1.0067458011984893</c:v>
                </c:pt>
                <c:pt idx="385">
                  <c:v>2.9479747241778966</c:v>
                </c:pt>
                <c:pt idx="386">
                  <c:v>-0.59380373872228487</c:v>
                </c:pt>
                <c:pt idx="387">
                  <c:v>0.32383404173850483</c:v>
                </c:pt>
                <c:pt idx="388">
                  <c:v>-1.8356135774016877</c:v>
                </c:pt>
                <c:pt idx="389">
                  <c:v>29.089894600645138</c:v>
                </c:pt>
                <c:pt idx="390">
                  <c:v>19.113735793916618</c:v>
                </c:pt>
                <c:pt idx="391">
                  <c:v>45.601033512736038</c:v>
                </c:pt>
                <c:pt idx="392">
                  <c:v>4.2757866768310464</c:v>
                </c:pt>
                <c:pt idx="393">
                  <c:v>1.2771307319842933</c:v>
                </c:pt>
                <c:pt idx="394">
                  <c:v>34.219014822854405</c:v>
                </c:pt>
                <c:pt idx="395">
                  <c:v>58.042481568907959</c:v>
                </c:pt>
                <c:pt idx="396">
                  <c:v>-2.6914775505496351</c:v>
                </c:pt>
                <c:pt idx="397">
                  <c:v>20.707295344782651</c:v>
                </c:pt>
                <c:pt idx="398">
                  <c:v>86.115887431766225</c:v>
                </c:pt>
                <c:pt idx="399">
                  <c:v>15.203186930661403</c:v>
                </c:pt>
                <c:pt idx="400">
                  <c:v>-0.33965473905199672</c:v>
                </c:pt>
                <c:pt idx="401">
                  <c:v>20.980136548289735</c:v>
                </c:pt>
                <c:pt idx="402">
                  <c:v>6.2660225512798462</c:v>
                </c:pt>
                <c:pt idx="403">
                  <c:v>36.920051856100713</c:v>
                </c:pt>
                <c:pt idx="404">
                  <c:v>4.1140462982532711</c:v>
                </c:pt>
                <c:pt idx="405">
                  <c:v>20.208758811368952</c:v>
                </c:pt>
                <c:pt idx="406">
                  <c:v>-1.6508986638904428</c:v>
                </c:pt>
                <c:pt idx="407">
                  <c:v>0.74544762563317901</c:v>
                </c:pt>
                <c:pt idx="408">
                  <c:v>9.9885996091187081</c:v>
                </c:pt>
                <c:pt idx="409">
                  <c:v>-0.45362263819719661</c:v>
                </c:pt>
                <c:pt idx="410">
                  <c:v>0.11865367039760799</c:v>
                </c:pt>
                <c:pt idx="411">
                  <c:v>5.6153207906191653</c:v>
                </c:pt>
                <c:pt idx="412">
                  <c:v>17.016530476245293</c:v>
                </c:pt>
                <c:pt idx="413">
                  <c:v>1.2075867742574391</c:v>
                </c:pt>
                <c:pt idx="414">
                  <c:v>22.5397762407068</c:v>
                </c:pt>
                <c:pt idx="415">
                  <c:v>19.886287654476234</c:v>
                </c:pt>
                <c:pt idx="416">
                  <c:v>1.9876947759722015</c:v>
                </c:pt>
                <c:pt idx="417">
                  <c:v>-0.41495918714421265</c:v>
                </c:pt>
                <c:pt idx="418">
                  <c:v>0.36345228155649378</c:v>
                </c:pt>
                <c:pt idx="419">
                  <c:v>19.153119216561933</c:v>
                </c:pt>
                <c:pt idx="420">
                  <c:v>0.43749661883204283</c:v>
                </c:pt>
                <c:pt idx="421">
                  <c:v>31.765618407837991</c:v>
                </c:pt>
                <c:pt idx="422">
                  <c:v>3.0036891045526204E-2</c:v>
                </c:pt>
                <c:pt idx="423">
                  <c:v>8.3153463806116861</c:v>
                </c:pt>
                <c:pt idx="424">
                  <c:v>-8.9203569913288441E-2</c:v>
                </c:pt>
                <c:pt idx="425">
                  <c:v>0.1184405535405002</c:v>
                </c:pt>
                <c:pt idx="426">
                  <c:v>-0.99362360840227115</c:v>
                </c:pt>
                <c:pt idx="427">
                  <c:v>1.794732352255524E-2</c:v>
                </c:pt>
                <c:pt idx="428">
                  <c:v>13.744366984431466</c:v>
                </c:pt>
                <c:pt idx="429">
                  <c:v>-0.74008351995888688</c:v>
                </c:pt>
                <c:pt idx="430">
                  <c:v>-0.33872028930682446</c:v>
                </c:pt>
                <c:pt idx="431">
                  <c:v>32.663959634775438</c:v>
                </c:pt>
                <c:pt idx="432">
                  <c:v>-3.2201493561842498</c:v>
                </c:pt>
                <c:pt idx="433">
                  <c:v>0.79182910877572443</c:v>
                </c:pt>
                <c:pt idx="434">
                  <c:v>-0.5106183233204048</c:v>
                </c:pt>
                <c:pt idx="435">
                  <c:v>4.5311403681748175</c:v>
                </c:pt>
                <c:pt idx="436">
                  <c:v>0.39207990992560754</c:v>
                </c:pt>
                <c:pt idx="437">
                  <c:v>20.633821599704092</c:v>
                </c:pt>
                <c:pt idx="438">
                  <c:v>33.467528807691849</c:v>
                </c:pt>
                <c:pt idx="439">
                  <c:v>1.7308145085367013</c:v>
                </c:pt>
                <c:pt idx="440">
                  <c:v>5.0030061940931745</c:v>
                </c:pt>
                <c:pt idx="441">
                  <c:v>3.4675619365732899</c:v>
                </c:pt>
                <c:pt idx="442">
                  <c:v>-2.2469518998411595</c:v>
                </c:pt>
                <c:pt idx="443">
                  <c:v>9.9060260962896791</c:v>
                </c:pt>
                <c:pt idx="444">
                  <c:v>7.7196243656484569</c:v>
                </c:pt>
                <c:pt idx="445">
                  <c:v>13.100095790670039</c:v>
                </c:pt>
                <c:pt idx="446">
                  <c:v>37.360513875063958</c:v>
                </c:pt>
                <c:pt idx="447">
                  <c:v>3.6100855027925576</c:v>
                </c:pt>
                <c:pt idx="448">
                  <c:v>-1.526747588273619</c:v>
                </c:pt>
                <c:pt idx="449">
                  <c:v>65.249109572597817</c:v>
                </c:pt>
                <c:pt idx="450">
                  <c:v>-0.48877400353835887</c:v>
                </c:pt>
                <c:pt idx="451">
                  <c:v>23.333036775918089</c:v>
                </c:pt>
                <c:pt idx="452">
                  <c:v>-1.1183909061670514</c:v>
                </c:pt>
                <c:pt idx="453">
                  <c:v>29.935821838478333</c:v>
                </c:pt>
                <c:pt idx="454">
                  <c:v>0.304298352534218</c:v>
                </c:pt>
                <c:pt idx="455">
                  <c:v>16.062892331071865</c:v>
                </c:pt>
                <c:pt idx="456">
                  <c:v>24.581260268689022</c:v>
                </c:pt>
                <c:pt idx="457">
                  <c:v>41.096573205887552</c:v>
                </c:pt>
                <c:pt idx="458">
                  <c:v>0.11806114330020245</c:v>
                </c:pt>
                <c:pt idx="459">
                  <c:v>31.036168788078101</c:v>
                </c:pt>
                <c:pt idx="460">
                  <c:v>24.531185159583657</c:v>
                </c:pt>
                <c:pt idx="461">
                  <c:v>9.2604972151555813</c:v>
                </c:pt>
                <c:pt idx="462">
                  <c:v>0.6072093151687552</c:v>
                </c:pt>
                <c:pt idx="463">
                  <c:v>3.648581866595606</c:v>
                </c:pt>
                <c:pt idx="464">
                  <c:v>1.3119101018341883</c:v>
                </c:pt>
                <c:pt idx="465">
                  <c:v>0.24957591196598364</c:v>
                </c:pt>
                <c:pt idx="466">
                  <c:v>1.4536972770983039</c:v>
                </c:pt>
                <c:pt idx="467">
                  <c:v>-3.6305472044378666</c:v>
                </c:pt>
                <c:pt idx="468">
                  <c:v>5.2584969162553676</c:v>
                </c:pt>
                <c:pt idx="469">
                  <c:v>1.9408183889413084</c:v>
                </c:pt>
                <c:pt idx="470">
                  <c:v>14.072910476854858</c:v>
                </c:pt>
                <c:pt idx="471">
                  <c:v>32.390056658755469</c:v>
                </c:pt>
                <c:pt idx="472">
                  <c:v>0.53309648384749797</c:v>
                </c:pt>
                <c:pt idx="473">
                  <c:v>53.313473039918136</c:v>
                </c:pt>
                <c:pt idx="474">
                  <c:v>1.2396955249091701</c:v>
                </c:pt>
                <c:pt idx="475">
                  <c:v>1.4678776829872078</c:v>
                </c:pt>
                <c:pt idx="476">
                  <c:v>-1.3889177268495185</c:v>
                </c:pt>
                <c:pt idx="477">
                  <c:v>8.5211016727495661</c:v>
                </c:pt>
                <c:pt idx="478">
                  <c:v>-2.8637011785247797</c:v>
                </c:pt>
                <c:pt idx="479">
                  <c:v>22.780339086611221</c:v>
                </c:pt>
                <c:pt idx="480">
                  <c:v>4.1020115236953245</c:v>
                </c:pt>
                <c:pt idx="481">
                  <c:v>10.874972918307847</c:v>
                </c:pt>
                <c:pt idx="482">
                  <c:v>3.7872039094113177</c:v>
                </c:pt>
                <c:pt idx="483">
                  <c:v>4.6329478974446276</c:v>
                </c:pt>
                <c:pt idx="484">
                  <c:v>0.68355549123920412</c:v>
                </c:pt>
                <c:pt idx="485">
                  <c:v>1.4765320942122764</c:v>
                </c:pt>
                <c:pt idx="486">
                  <c:v>7.8338336629986856</c:v>
                </c:pt>
                <c:pt idx="487">
                  <c:v>4.2030299009717993</c:v>
                </c:pt>
                <c:pt idx="488">
                  <c:v>11.296416902760029</c:v>
                </c:pt>
                <c:pt idx="489">
                  <c:v>0.11247576908054291</c:v>
                </c:pt>
                <c:pt idx="490">
                  <c:v>61.875431533927923</c:v>
                </c:pt>
                <c:pt idx="491">
                  <c:v>0.4448524076468594</c:v>
                </c:pt>
                <c:pt idx="492">
                  <c:v>14.435308744981924</c:v>
                </c:pt>
                <c:pt idx="493">
                  <c:v>20.132700414288351</c:v>
                </c:pt>
                <c:pt idx="494">
                  <c:v>-0.43663204961943869</c:v>
                </c:pt>
                <c:pt idx="495">
                  <c:v>47.336221577337412</c:v>
                </c:pt>
                <c:pt idx="496">
                  <c:v>1.8631014434876221</c:v>
                </c:pt>
                <c:pt idx="497">
                  <c:v>1.8426614871140798</c:v>
                </c:pt>
                <c:pt idx="498">
                  <c:v>22.239743791972941</c:v>
                </c:pt>
                <c:pt idx="499">
                  <c:v>34.124676950552214</c:v>
                </c:pt>
                <c:pt idx="500">
                  <c:v>1.8660699089916521</c:v>
                </c:pt>
                <c:pt idx="501">
                  <c:v>2.4033089728818999</c:v>
                </c:pt>
                <c:pt idx="502">
                  <c:v>43.579158849569964</c:v>
                </c:pt>
                <c:pt idx="503">
                  <c:v>0.43103920725600053</c:v>
                </c:pt>
                <c:pt idx="504">
                  <c:v>-0.19777275875374864</c:v>
                </c:pt>
                <c:pt idx="505">
                  <c:v>0.15549227358901885</c:v>
                </c:pt>
                <c:pt idx="506">
                  <c:v>6.7646662867165475E-2</c:v>
                </c:pt>
                <c:pt idx="507">
                  <c:v>14.101899304504968</c:v>
                </c:pt>
                <c:pt idx="508">
                  <c:v>4.8833444882389472</c:v>
                </c:pt>
                <c:pt idx="509">
                  <c:v>37.540482053708772</c:v>
                </c:pt>
                <c:pt idx="510">
                  <c:v>-0.20251222089322463</c:v>
                </c:pt>
                <c:pt idx="511">
                  <c:v>-0.34306388374602814</c:v>
                </c:pt>
                <c:pt idx="512">
                  <c:v>25.523433324903579</c:v>
                </c:pt>
                <c:pt idx="513">
                  <c:v>-3.3962947786909012</c:v>
                </c:pt>
                <c:pt idx="514">
                  <c:v>15.314701152924073</c:v>
                </c:pt>
                <c:pt idx="515">
                  <c:v>0.58838876701467946</c:v>
                </c:pt>
                <c:pt idx="516">
                  <c:v>9.1324605618427687E-2</c:v>
                </c:pt>
                <c:pt idx="517">
                  <c:v>17.784791796613192</c:v>
                </c:pt>
                <c:pt idx="518">
                  <c:v>14.987644063864323</c:v>
                </c:pt>
                <c:pt idx="519">
                  <c:v>7.8425676428352773</c:v>
                </c:pt>
                <c:pt idx="520">
                  <c:v>-1.1595533415836312</c:v>
                </c:pt>
                <c:pt idx="521">
                  <c:v>0.10737502194181842</c:v>
                </c:pt>
                <c:pt idx="522">
                  <c:v>-1.3693027197502958</c:v>
                </c:pt>
                <c:pt idx="523">
                  <c:v>7.0163992757046572</c:v>
                </c:pt>
                <c:pt idx="524">
                  <c:v>36.76645959155924</c:v>
                </c:pt>
                <c:pt idx="525">
                  <c:v>-0.79629357438906057</c:v>
                </c:pt>
                <c:pt idx="526">
                  <c:v>2.1016458446322801</c:v>
                </c:pt>
                <c:pt idx="527">
                  <c:v>14.273181824298703</c:v>
                </c:pt>
                <c:pt idx="528">
                  <c:v>1.3420440493522172</c:v>
                </c:pt>
                <c:pt idx="529">
                  <c:v>37.548246565912365</c:v>
                </c:pt>
                <c:pt idx="530">
                  <c:v>-0.49019448210291072</c:v>
                </c:pt>
                <c:pt idx="531">
                  <c:v>20.417694560806069</c:v>
                </c:pt>
                <c:pt idx="532">
                  <c:v>10.46504833152791</c:v>
                </c:pt>
                <c:pt idx="533">
                  <c:v>9.0968751201266684E-2</c:v>
                </c:pt>
                <c:pt idx="534">
                  <c:v>0.37658079877087403</c:v>
                </c:pt>
                <c:pt idx="535">
                  <c:v>4.2349232555467893</c:v>
                </c:pt>
                <c:pt idx="536">
                  <c:v>1.7636613287884018</c:v>
                </c:pt>
                <c:pt idx="537">
                  <c:v>-0.76342934539135854</c:v>
                </c:pt>
                <c:pt idx="538">
                  <c:v>0.49370441313163649</c:v>
                </c:pt>
                <c:pt idx="539">
                  <c:v>37.877797767612947</c:v>
                </c:pt>
                <c:pt idx="540">
                  <c:v>11.660755859789347</c:v>
                </c:pt>
                <c:pt idx="541">
                  <c:v>0.27597779049132581</c:v>
                </c:pt>
                <c:pt idx="542">
                  <c:v>12.573926021380757</c:v>
                </c:pt>
                <c:pt idx="543">
                  <c:v>1.3705368556710731</c:v>
                </c:pt>
                <c:pt idx="544">
                  <c:v>7.4728753616212202</c:v>
                </c:pt>
                <c:pt idx="545">
                  <c:v>-1.8269313995966669</c:v>
                </c:pt>
                <c:pt idx="546">
                  <c:v>-1.2298659365502265</c:v>
                </c:pt>
                <c:pt idx="547">
                  <c:v>0.4404416615526392</c:v>
                </c:pt>
                <c:pt idx="548">
                  <c:v>-0.82235905911167007</c:v>
                </c:pt>
                <c:pt idx="549">
                  <c:v>6.3402943434477521</c:v>
                </c:pt>
                <c:pt idx="550">
                  <c:v>2.2727917831992031</c:v>
                </c:pt>
                <c:pt idx="551">
                  <c:v>9.0286673595410036</c:v>
                </c:pt>
                <c:pt idx="552">
                  <c:v>3.1558115921484085</c:v>
                </c:pt>
                <c:pt idx="553">
                  <c:v>3.2299644492567303</c:v>
                </c:pt>
                <c:pt idx="554">
                  <c:v>11.772643951353587</c:v>
                </c:pt>
                <c:pt idx="555">
                  <c:v>14.550202561120088</c:v>
                </c:pt>
                <c:pt idx="556">
                  <c:v>1.7915062431330426</c:v>
                </c:pt>
                <c:pt idx="557">
                  <c:v>45.830567375609007</c:v>
                </c:pt>
                <c:pt idx="558">
                  <c:v>22.788381063896239</c:v>
                </c:pt>
                <c:pt idx="559">
                  <c:v>40.400991995863535</c:v>
                </c:pt>
                <c:pt idx="560">
                  <c:v>0.22430067920262295</c:v>
                </c:pt>
                <c:pt idx="561">
                  <c:v>26.509168729173908</c:v>
                </c:pt>
                <c:pt idx="562">
                  <c:v>-1.2796408022507137</c:v>
                </c:pt>
                <c:pt idx="563">
                  <c:v>-7.5504561278409987E-2</c:v>
                </c:pt>
                <c:pt idx="564">
                  <c:v>13.086628065535407</c:v>
                </c:pt>
                <c:pt idx="565">
                  <c:v>47.900760741187</c:v>
                </c:pt>
                <c:pt idx="566">
                  <c:v>-0.85652471798399432</c:v>
                </c:pt>
                <c:pt idx="567">
                  <c:v>25.36214842013878</c:v>
                </c:pt>
                <c:pt idx="568">
                  <c:v>23.377989442529824</c:v>
                </c:pt>
                <c:pt idx="569">
                  <c:v>13.379984256671463</c:v>
                </c:pt>
                <c:pt idx="570">
                  <c:v>3.0220913561563805</c:v>
                </c:pt>
                <c:pt idx="571">
                  <c:v>-1.0944577436318643</c:v>
                </c:pt>
                <c:pt idx="572">
                  <c:v>26.391300489438521</c:v>
                </c:pt>
                <c:pt idx="573">
                  <c:v>19.428549364329612</c:v>
                </c:pt>
                <c:pt idx="574">
                  <c:v>3.0276596182596336</c:v>
                </c:pt>
                <c:pt idx="575">
                  <c:v>47.75585602540184</c:v>
                </c:pt>
                <c:pt idx="576">
                  <c:v>15.223508788679126</c:v>
                </c:pt>
                <c:pt idx="577">
                  <c:v>18.679359603307006</c:v>
                </c:pt>
                <c:pt idx="578">
                  <c:v>22.428089952034625</c:v>
                </c:pt>
                <c:pt idx="579">
                  <c:v>1.6194268621422987</c:v>
                </c:pt>
                <c:pt idx="580">
                  <c:v>10.225039729400066</c:v>
                </c:pt>
                <c:pt idx="581">
                  <c:v>46.33140477268978</c:v>
                </c:pt>
                <c:pt idx="582">
                  <c:v>5.355219467371569</c:v>
                </c:pt>
                <c:pt idx="583">
                  <c:v>53.410412829032268</c:v>
                </c:pt>
                <c:pt idx="584">
                  <c:v>4.3290948594260925</c:v>
                </c:pt>
                <c:pt idx="585">
                  <c:v>1.3597178067641256</c:v>
                </c:pt>
                <c:pt idx="586">
                  <c:v>-0.15652415860939245</c:v>
                </c:pt>
                <c:pt idx="587">
                  <c:v>48.204259159652423</c:v>
                </c:pt>
                <c:pt idx="588">
                  <c:v>7.2817896947590555</c:v>
                </c:pt>
                <c:pt idx="589">
                  <c:v>3.0609347295113238</c:v>
                </c:pt>
                <c:pt idx="590">
                  <c:v>6.9650577942238101</c:v>
                </c:pt>
                <c:pt idx="591">
                  <c:v>31.094754803037645</c:v>
                </c:pt>
                <c:pt idx="592">
                  <c:v>11.995382585036324</c:v>
                </c:pt>
                <c:pt idx="593">
                  <c:v>0.18928708762746133</c:v>
                </c:pt>
                <c:pt idx="594">
                  <c:v>-0.39393912998843822</c:v>
                </c:pt>
                <c:pt idx="595">
                  <c:v>24.662085314719192</c:v>
                </c:pt>
                <c:pt idx="596">
                  <c:v>68.642881396167468</c:v>
                </c:pt>
                <c:pt idx="597">
                  <c:v>-0.79395108768023059</c:v>
                </c:pt>
                <c:pt idx="598">
                  <c:v>21.798674674801234</c:v>
                </c:pt>
                <c:pt idx="599">
                  <c:v>6.6098183941638382</c:v>
                </c:pt>
                <c:pt idx="600">
                  <c:v>18.771209947749639</c:v>
                </c:pt>
                <c:pt idx="601">
                  <c:v>11.586971637115894</c:v>
                </c:pt>
                <c:pt idx="602">
                  <c:v>-1.2007491589893653</c:v>
                </c:pt>
                <c:pt idx="603">
                  <c:v>-0.57561831208813174</c:v>
                </c:pt>
                <c:pt idx="604">
                  <c:v>0.54621541306880006</c:v>
                </c:pt>
                <c:pt idx="605">
                  <c:v>1.0617870442301289</c:v>
                </c:pt>
                <c:pt idx="606">
                  <c:v>-2.3039137170689141</c:v>
                </c:pt>
                <c:pt idx="607">
                  <c:v>5.8834449037926437E-2</c:v>
                </c:pt>
                <c:pt idx="608">
                  <c:v>24.098015713791824</c:v>
                </c:pt>
                <c:pt idx="609">
                  <c:v>19.863923244500029</c:v>
                </c:pt>
                <c:pt idx="610">
                  <c:v>7.0881166283564312</c:v>
                </c:pt>
                <c:pt idx="611">
                  <c:v>1.4247502141844546</c:v>
                </c:pt>
                <c:pt idx="612">
                  <c:v>-2.4534901502849848</c:v>
                </c:pt>
                <c:pt idx="613">
                  <c:v>30.573780564749981</c:v>
                </c:pt>
                <c:pt idx="614">
                  <c:v>35.527694711845939</c:v>
                </c:pt>
                <c:pt idx="615">
                  <c:v>81.068153114555827</c:v>
                </c:pt>
                <c:pt idx="616">
                  <c:v>0.73924821248401429</c:v>
                </c:pt>
                <c:pt idx="617">
                  <c:v>4.8223524948750907</c:v>
                </c:pt>
                <c:pt idx="618">
                  <c:v>-0.70917544038643177</c:v>
                </c:pt>
                <c:pt idx="619">
                  <c:v>1.0476440132226656</c:v>
                </c:pt>
                <c:pt idx="620">
                  <c:v>14.515693708737814</c:v>
                </c:pt>
                <c:pt idx="621">
                  <c:v>2.162403969119552</c:v>
                </c:pt>
                <c:pt idx="622">
                  <c:v>-0.85941184017725514</c:v>
                </c:pt>
                <c:pt idx="623">
                  <c:v>1.77260282656313</c:v>
                </c:pt>
                <c:pt idx="624">
                  <c:v>40.264230347119167</c:v>
                </c:pt>
                <c:pt idx="625">
                  <c:v>36.088154441020365</c:v>
                </c:pt>
                <c:pt idx="626">
                  <c:v>5.3897478273024717</c:v>
                </c:pt>
                <c:pt idx="627">
                  <c:v>15.356445140066484</c:v>
                </c:pt>
                <c:pt idx="628">
                  <c:v>19.641207636229893</c:v>
                </c:pt>
                <c:pt idx="629">
                  <c:v>29.336826062135643</c:v>
                </c:pt>
                <c:pt idx="630">
                  <c:v>8.4080965298726085</c:v>
                </c:pt>
                <c:pt idx="631">
                  <c:v>0.14098207083084446</c:v>
                </c:pt>
                <c:pt idx="632">
                  <c:v>-4.4588918278759118E-2</c:v>
                </c:pt>
                <c:pt idx="633">
                  <c:v>20.529130728669557</c:v>
                </c:pt>
                <c:pt idx="634">
                  <c:v>-0.53662884348941586</c:v>
                </c:pt>
                <c:pt idx="635">
                  <c:v>21.085175825050442</c:v>
                </c:pt>
                <c:pt idx="636">
                  <c:v>3.6426597990941362E-2</c:v>
                </c:pt>
                <c:pt idx="637">
                  <c:v>0.23135750797590424</c:v>
                </c:pt>
                <c:pt idx="638">
                  <c:v>9.853896428330259</c:v>
                </c:pt>
                <c:pt idx="639">
                  <c:v>11.87057127076497</c:v>
                </c:pt>
                <c:pt idx="640">
                  <c:v>16.711060851232403</c:v>
                </c:pt>
                <c:pt idx="641">
                  <c:v>24.609724425145615</c:v>
                </c:pt>
                <c:pt idx="642">
                  <c:v>6.4330319897121484</c:v>
                </c:pt>
                <c:pt idx="643">
                  <c:v>-0.80605705626939306</c:v>
                </c:pt>
                <c:pt idx="644">
                  <c:v>19.127421026541967</c:v>
                </c:pt>
                <c:pt idx="645">
                  <c:v>7.1466501535299614</c:v>
                </c:pt>
                <c:pt idx="646">
                  <c:v>84.673800879459904</c:v>
                </c:pt>
                <c:pt idx="647">
                  <c:v>-1.1472252932529399</c:v>
                </c:pt>
                <c:pt idx="648">
                  <c:v>1.0118420351356718</c:v>
                </c:pt>
                <c:pt idx="649">
                  <c:v>7.3783888454163815</c:v>
                </c:pt>
                <c:pt idx="650">
                  <c:v>9.6682607239063429</c:v>
                </c:pt>
                <c:pt idx="651">
                  <c:v>17.617989398317377</c:v>
                </c:pt>
                <c:pt idx="652">
                  <c:v>17.440155166046765</c:v>
                </c:pt>
                <c:pt idx="653">
                  <c:v>26.283870239942843</c:v>
                </c:pt>
                <c:pt idx="654">
                  <c:v>37.10614274618338</c:v>
                </c:pt>
                <c:pt idx="655">
                  <c:v>9.8058476536283052</c:v>
                </c:pt>
                <c:pt idx="656">
                  <c:v>3.260592855346208</c:v>
                </c:pt>
                <c:pt idx="657">
                  <c:v>11.536919971218154</c:v>
                </c:pt>
                <c:pt idx="658">
                  <c:v>0.87468860961706696</c:v>
                </c:pt>
                <c:pt idx="659">
                  <c:v>8.8038402302609171</c:v>
                </c:pt>
                <c:pt idx="660">
                  <c:v>19.157526162613721</c:v>
                </c:pt>
                <c:pt idx="661">
                  <c:v>26.402268902271715</c:v>
                </c:pt>
                <c:pt idx="662">
                  <c:v>40.816036140891271</c:v>
                </c:pt>
                <c:pt idx="663">
                  <c:v>-3.4268008294531285</c:v>
                </c:pt>
                <c:pt idx="664">
                  <c:v>26.776234890953816</c:v>
                </c:pt>
                <c:pt idx="665">
                  <c:v>1.40374854355101</c:v>
                </c:pt>
                <c:pt idx="666">
                  <c:v>2.8273299787760493</c:v>
                </c:pt>
                <c:pt idx="667">
                  <c:v>8.2599777516076806E-2</c:v>
                </c:pt>
                <c:pt idx="668">
                  <c:v>46.13985190886423</c:v>
                </c:pt>
                <c:pt idx="669">
                  <c:v>0.41072778747675276</c:v>
                </c:pt>
                <c:pt idx="670">
                  <c:v>22.340518060128161</c:v>
                </c:pt>
                <c:pt idx="671">
                  <c:v>10.758021787279446</c:v>
                </c:pt>
                <c:pt idx="672">
                  <c:v>12.545409426088185</c:v>
                </c:pt>
                <c:pt idx="673">
                  <c:v>8.3021528226770442</c:v>
                </c:pt>
                <c:pt idx="674">
                  <c:v>7.6843786097876148</c:v>
                </c:pt>
                <c:pt idx="675">
                  <c:v>0.58067983815835811</c:v>
                </c:pt>
                <c:pt idx="676">
                  <c:v>2.0620575562018075</c:v>
                </c:pt>
                <c:pt idx="677">
                  <c:v>16.975130775633275</c:v>
                </c:pt>
                <c:pt idx="678">
                  <c:v>1.5236063955224068</c:v>
                </c:pt>
                <c:pt idx="679">
                  <c:v>5.4107453086676713</c:v>
                </c:pt>
                <c:pt idx="680">
                  <c:v>12.853527644506926</c:v>
                </c:pt>
                <c:pt idx="681">
                  <c:v>2.1450474679345923</c:v>
                </c:pt>
                <c:pt idx="682">
                  <c:v>24.878905936078539</c:v>
                </c:pt>
                <c:pt idx="683">
                  <c:v>-1.0837469147616687</c:v>
                </c:pt>
                <c:pt idx="684">
                  <c:v>2.0596514226574327</c:v>
                </c:pt>
                <c:pt idx="685">
                  <c:v>55.334213314540548</c:v>
                </c:pt>
                <c:pt idx="686">
                  <c:v>-0.59984619148841023</c:v>
                </c:pt>
                <c:pt idx="687">
                  <c:v>-1.1415201578068783</c:v>
                </c:pt>
                <c:pt idx="688">
                  <c:v>-1.3108143887822621</c:v>
                </c:pt>
                <c:pt idx="689">
                  <c:v>-0.54021553955484025</c:v>
                </c:pt>
                <c:pt idx="690">
                  <c:v>56.698237404084793</c:v>
                </c:pt>
                <c:pt idx="691">
                  <c:v>25.036994271915134</c:v>
                </c:pt>
                <c:pt idx="692">
                  <c:v>-0.10435075409656185</c:v>
                </c:pt>
                <c:pt idx="693">
                  <c:v>0.92107731765253131</c:v>
                </c:pt>
                <c:pt idx="694">
                  <c:v>2.3816262051562778E-3</c:v>
                </c:pt>
                <c:pt idx="695">
                  <c:v>37.588512041686016</c:v>
                </c:pt>
                <c:pt idx="696">
                  <c:v>2.0116948381793094</c:v>
                </c:pt>
                <c:pt idx="697">
                  <c:v>38.31708748598156</c:v>
                </c:pt>
                <c:pt idx="698">
                  <c:v>-2.2774897741600482</c:v>
                </c:pt>
                <c:pt idx="699">
                  <c:v>15.341105737675278</c:v>
                </c:pt>
                <c:pt idx="700">
                  <c:v>-1.2477114982808164</c:v>
                </c:pt>
                <c:pt idx="701">
                  <c:v>1.518043305789142</c:v>
                </c:pt>
                <c:pt idx="702">
                  <c:v>20.428981743437632</c:v>
                </c:pt>
                <c:pt idx="703">
                  <c:v>-1.2190818778229153</c:v>
                </c:pt>
                <c:pt idx="704">
                  <c:v>3.8644055602475191</c:v>
                </c:pt>
                <c:pt idx="705">
                  <c:v>78.059499403721773</c:v>
                </c:pt>
                <c:pt idx="706">
                  <c:v>3.6566967052600745</c:v>
                </c:pt>
                <c:pt idx="707">
                  <c:v>1.0040322860836612</c:v>
                </c:pt>
                <c:pt idx="708">
                  <c:v>28.118668243648699</c:v>
                </c:pt>
                <c:pt idx="709">
                  <c:v>3.0585451203572731</c:v>
                </c:pt>
                <c:pt idx="710">
                  <c:v>17.089351126463441</c:v>
                </c:pt>
                <c:pt idx="711">
                  <c:v>28.100836696335662</c:v>
                </c:pt>
                <c:pt idx="712">
                  <c:v>-0.69769816275668706</c:v>
                </c:pt>
                <c:pt idx="713">
                  <c:v>60.076420346163744</c:v>
                </c:pt>
                <c:pt idx="714">
                  <c:v>-2.4974526501890359E-2</c:v>
                </c:pt>
                <c:pt idx="715">
                  <c:v>52.856440751105538</c:v>
                </c:pt>
                <c:pt idx="716">
                  <c:v>20.781392991209813</c:v>
                </c:pt>
                <c:pt idx="717">
                  <c:v>11.133059295637125</c:v>
                </c:pt>
                <c:pt idx="718">
                  <c:v>14.937941551723142</c:v>
                </c:pt>
                <c:pt idx="719">
                  <c:v>-1.3903928133545467</c:v>
                </c:pt>
                <c:pt idx="720">
                  <c:v>1.0020243202727492</c:v>
                </c:pt>
                <c:pt idx="721">
                  <c:v>28.990316717246515</c:v>
                </c:pt>
                <c:pt idx="722">
                  <c:v>-0.2991305311487964</c:v>
                </c:pt>
                <c:pt idx="723">
                  <c:v>6.3535684259048537</c:v>
                </c:pt>
                <c:pt idx="724">
                  <c:v>17.048852186334258</c:v>
                </c:pt>
                <c:pt idx="725">
                  <c:v>-1.3746029830066886</c:v>
                </c:pt>
                <c:pt idx="726">
                  <c:v>4.4389398328735155</c:v>
                </c:pt>
                <c:pt idx="727">
                  <c:v>8.0230598467618961</c:v>
                </c:pt>
                <c:pt idx="728">
                  <c:v>0.11707434734278177</c:v>
                </c:pt>
                <c:pt idx="729">
                  <c:v>-0.59696074012783329</c:v>
                </c:pt>
                <c:pt idx="730">
                  <c:v>-0.71082703906754741</c:v>
                </c:pt>
                <c:pt idx="731">
                  <c:v>30.622480648063004</c:v>
                </c:pt>
                <c:pt idx="732">
                  <c:v>2.1744311356799244</c:v>
                </c:pt>
                <c:pt idx="733">
                  <c:v>7.6694476190599801</c:v>
                </c:pt>
                <c:pt idx="734">
                  <c:v>2.5634311037705788</c:v>
                </c:pt>
                <c:pt idx="735">
                  <c:v>0.8037661949531234</c:v>
                </c:pt>
                <c:pt idx="736">
                  <c:v>-1.2480641080454633</c:v>
                </c:pt>
                <c:pt idx="737">
                  <c:v>28.792308726945208</c:v>
                </c:pt>
                <c:pt idx="738">
                  <c:v>34.584494102252108</c:v>
                </c:pt>
                <c:pt idx="739">
                  <c:v>1.9245025152279791</c:v>
                </c:pt>
                <c:pt idx="740">
                  <c:v>14.286030167652783</c:v>
                </c:pt>
                <c:pt idx="741">
                  <c:v>-1.6237220327764115</c:v>
                </c:pt>
                <c:pt idx="742">
                  <c:v>-1.9300625311733057</c:v>
                </c:pt>
                <c:pt idx="743">
                  <c:v>1.3443648423284458</c:v>
                </c:pt>
                <c:pt idx="744">
                  <c:v>3.1299281031540858</c:v>
                </c:pt>
                <c:pt idx="745">
                  <c:v>10.526578456683922</c:v>
                </c:pt>
                <c:pt idx="746">
                  <c:v>2.3425057983083661</c:v>
                </c:pt>
                <c:pt idx="747">
                  <c:v>4.283230741717432</c:v>
                </c:pt>
                <c:pt idx="748">
                  <c:v>2.3380992431314098</c:v>
                </c:pt>
                <c:pt idx="749">
                  <c:v>-0.3891210355418534</c:v>
                </c:pt>
                <c:pt idx="750">
                  <c:v>-0.2487399016898415</c:v>
                </c:pt>
                <c:pt idx="751">
                  <c:v>1.0719074382094895</c:v>
                </c:pt>
                <c:pt idx="752">
                  <c:v>-1.6446244921870701</c:v>
                </c:pt>
                <c:pt idx="753">
                  <c:v>-1.2012828544110938</c:v>
                </c:pt>
                <c:pt idx="754">
                  <c:v>0.56676082190985611</c:v>
                </c:pt>
                <c:pt idx="755">
                  <c:v>9.1751533874028581</c:v>
                </c:pt>
                <c:pt idx="756">
                  <c:v>2.3220707574127921</c:v>
                </c:pt>
                <c:pt idx="757">
                  <c:v>1.7462939907903632</c:v>
                </c:pt>
                <c:pt idx="758">
                  <c:v>-1.8112900683303099</c:v>
                </c:pt>
                <c:pt idx="759">
                  <c:v>-1.1997349204788872</c:v>
                </c:pt>
                <c:pt idx="760">
                  <c:v>11.986119022891742</c:v>
                </c:pt>
                <c:pt idx="761">
                  <c:v>38.996068378905434</c:v>
                </c:pt>
                <c:pt idx="762">
                  <c:v>17.787071939798537</c:v>
                </c:pt>
                <c:pt idx="763">
                  <c:v>5.7433723651827737E-2</c:v>
                </c:pt>
                <c:pt idx="764">
                  <c:v>64.366767363589901</c:v>
                </c:pt>
                <c:pt idx="765">
                  <c:v>1.7755604023399556</c:v>
                </c:pt>
                <c:pt idx="766">
                  <c:v>0.79945448077765491</c:v>
                </c:pt>
                <c:pt idx="767">
                  <c:v>24.952188800249033</c:v>
                </c:pt>
                <c:pt idx="768">
                  <c:v>21.503853185546788</c:v>
                </c:pt>
                <c:pt idx="769">
                  <c:v>0.26832143343872339</c:v>
                </c:pt>
                <c:pt idx="770">
                  <c:v>16.821814601124913</c:v>
                </c:pt>
                <c:pt idx="771">
                  <c:v>-1.3260401531092074</c:v>
                </c:pt>
                <c:pt idx="772">
                  <c:v>1.5047037089131616</c:v>
                </c:pt>
                <c:pt idx="773">
                  <c:v>0.871763127353125</c:v>
                </c:pt>
                <c:pt idx="774">
                  <c:v>9.1796965198590783</c:v>
                </c:pt>
                <c:pt idx="775">
                  <c:v>4.8271125299910551</c:v>
                </c:pt>
                <c:pt idx="776">
                  <c:v>0.70794187749440085</c:v>
                </c:pt>
                <c:pt idx="777">
                  <c:v>-4.0980259763462215</c:v>
                </c:pt>
                <c:pt idx="778">
                  <c:v>-1.1552932897000143</c:v>
                </c:pt>
                <c:pt idx="779">
                  <c:v>14.303899791615422</c:v>
                </c:pt>
                <c:pt idx="780">
                  <c:v>17.172699592050037</c:v>
                </c:pt>
                <c:pt idx="781">
                  <c:v>-0.85452140057595694</c:v>
                </c:pt>
                <c:pt idx="782">
                  <c:v>0.81596540152301533</c:v>
                </c:pt>
                <c:pt idx="783">
                  <c:v>23.756710795713133</c:v>
                </c:pt>
                <c:pt idx="784">
                  <c:v>1.1471418649050549</c:v>
                </c:pt>
                <c:pt idx="785">
                  <c:v>-0.37809284467486953</c:v>
                </c:pt>
                <c:pt idx="786">
                  <c:v>-0.36385416430296491</c:v>
                </c:pt>
                <c:pt idx="787">
                  <c:v>24.79023485580565</c:v>
                </c:pt>
                <c:pt idx="788">
                  <c:v>1.1848172019758891</c:v>
                </c:pt>
                <c:pt idx="789">
                  <c:v>24.0605554899753</c:v>
                </c:pt>
                <c:pt idx="790">
                  <c:v>11.69416471521842</c:v>
                </c:pt>
                <c:pt idx="791">
                  <c:v>0.30497227942165495</c:v>
                </c:pt>
                <c:pt idx="792">
                  <c:v>12.969964554483639</c:v>
                </c:pt>
                <c:pt idx="793">
                  <c:v>6.4535014896849816</c:v>
                </c:pt>
                <c:pt idx="794">
                  <c:v>38.584668335564857</c:v>
                </c:pt>
                <c:pt idx="795">
                  <c:v>28.324768462757248</c:v>
                </c:pt>
                <c:pt idx="796">
                  <c:v>34.610539648845872</c:v>
                </c:pt>
                <c:pt idx="797">
                  <c:v>6.3032281048164833</c:v>
                </c:pt>
                <c:pt idx="798">
                  <c:v>-1.1592605700641201</c:v>
                </c:pt>
                <c:pt idx="799">
                  <c:v>1.6102824685541481</c:v>
                </c:pt>
                <c:pt idx="800">
                  <c:v>1.4464029087241101</c:v>
                </c:pt>
                <c:pt idx="801">
                  <c:v>-2.961590105690397</c:v>
                </c:pt>
                <c:pt idx="802">
                  <c:v>13.569163356339473</c:v>
                </c:pt>
                <c:pt idx="803">
                  <c:v>14.000833832958008</c:v>
                </c:pt>
                <c:pt idx="804">
                  <c:v>-0.68025043516267469</c:v>
                </c:pt>
                <c:pt idx="805">
                  <c:v>0.66326654677102681</c:v>
                </c:pt>
                <c:pt idx="806">
                  <c:v>35.651389205441092</c:v>
                </c:pt>
                <c:pt idx="807">
                  <c:v>55.913457611051626</c:v>
                </c:pt>
                <c:pt idx="808">
                  <c:v>-3.6696606615414922</c:v>
                </c:pt>
                <c:pt idx="809">
                  <c:v>6.5283336335797912</c:v>
                </c:pt>
                <c:pt idx="810">
                  <c:v>0.24345318130071231</c:v>
                </c:pt>
                <c:pt idx="811">
                  <c:v>8.4232111752608603</c:v>
                </c:pt>
                <c:pt idx="812">
                  <c:v>0.86904364149597491</c:v>
                </c:pt>
                <c:pt idx="813">
                  <c:v>1.790307017004892</c:v>
                </c:pt>
                <c:pt idx="814">
                  <c:v>7.0677804023545576</c:v>
                </c:pt>
                <c:pt idx="815">
                  <c:v>-1.4388236265715393</c:v>
                </c:pt>
                <c:pt idx="816">
                  <c:v>-0.13465359764165288</c:v>
                </c:pt>
                <c:pt idx="817">
                  <c:v>-0.12452833319059309</c:v>
                </c:pt>
                <c:pt idx="818">
                  <c:v>-0.33418911447328581</c:v>
                </c:pt>
                <c:pt idx="819">
                  <c:v>30.374043977578239</c:v>
                </c:pt>
                <c:pt idx="820">
                  <c:v>17.378618920813096</c:v>
                </c:pt>
                <c:pt idx="821">
                  <c:v>45.423023136996107</c:v>
                </c:pt>
                <c:pt idx="822">
                  <c:v>-1.6212326854706056</c:v>
                </c:pt>
                <c:pt idx="823">
                  <c:v>0.51969315132559757</c:v>
                </c:pt>
                <c:pt idx="824">
                  <c:v>50.652417454875035</c:v>
                </c:pt>
                <c:pt idx="825">
                  <c:v>-0.5182821826376709</c:v>
                </c:pt>
                <c:pt idx="826">
                  <c:v>-0.80346477010159334</c:v>
                </c:pt>
                <c:pt idx="827">
                  <c:v>49.380578782469883</c:v>
                </c:pt>
                <c:pt idx="828">
                  <c:v>24.126296547208227</c:v>
                </c:pt>
                <c:pt idx="829">
                  <c:v>0.73855489117584971</c:v>
                </c:pt>
                <c:pt idx="830">
                  <c:v>1.3446367287163867</c:v>
                </c:pt>
                <c:pt idx="831">
                  <c:v>17.933008886547327</c:v>
                </c:pt>
                <c:pt idx="832">
                  <c:v>18.886291493571619</c:v>
                </c:pt>
                <c:pt idx="833">
                  <c:v>0.51892445071410453</c:v>
                </c:pt>
                <c:pt idx="834">
                  <c:v>2.6798305346745224</c:v>
                </c:pt>
                <c:pt idx="835">
                  <c:v>8.5362220233535311</c:v>
                </c:pt>
                <c:pt idx="836">
                  <c:v>-3.1431811149421081</c:v>
                </c:pt>
                <c:pt idx="837">
                  <c:v>2.520426652025904</c:v>
                </c:pt>
                <c:pt idx="838">
                  <c:v>19.790191755426832</c:v>
                </c:pt>
                <c:pt idx="839">
                  <c:v>1.0049968125665343</c:v>
                </c:pt>
                <c:pt idx="840">
                  <c:v>10.19852380016907</c:v>
                </c:pt>
                <c:pt idx="841">
                  <c:v>17.074306477787303</c:v>
                </c:pt>
                <c:pt idx="842">
                  <c:v>1.3490414930854906</c:v>
                </c:pt>
                <c:pt idx="843">
                  <c:v>0.63306220646359534</c:v>
                </c:pt>
                <c:pt idx="844">
                  <c:v>7.1136626656947755E-2</c:v>
                </c:pt>
                <c:pt idx="845">
                  <c:v>0.96404998659646701</c:v>
                </c:pt>
                <c:pt idx="846">
                  <c:v>32.57071118351503</c:v>
                </c:pt>
                <c:pt idx="847">
                  <c:v>3.4614284437095506</c:v>
                </c:pt>
                <c:pt idx="848">
                  <c:v>1.394691035858667</c:v>
                </c:pt>
                <c:pt idx="849">
                  <c:v>32.828190992917911</c:v>
                </c:pt>
                <c:pt idx="850">
                  <c:v>-1.5589398622519839</c:v>
                </c:pt>
                <c:pt idx="851">
                  <c:v>-1.1632563780377507</c:v>
                </c:pt>
                <c:pt idx="852">
                  <c:v>0.74852641220127702</c:v>
                </c:pt>
                <c:pt idx="853">
                  <c:v>-2.6831623956187904</c:v>
                </c:pt>
                <c:pt idx="854">
                  <c:v>3.0639415627057076</c:v>
                </c:pt>
                <c:pt idx="855">
                  <c:v>-1.4900919295496404</c:v>
                </c:pt>
                <c:pt idx="856">
                  <c:v>5.5411212829455252</c:v>
                </c:pt>
                <c:pt idx="857">
                  <c:v>0.41393073442893291</c:v>
                </c:pt>
                <c:pt idx="858">
                  <c:v>1.5807804768732936</c:v>
                </c:pt>
                <c:pt idx="859">
                  <c:v>9.0542279317457854</c:v>
                </c:pt>
                <c:pt idx="860">
                  <c:v>34.672450267823223</c:v>
                </c:pt>
                <c:pt idx="861">
                  <c:v>16.954476689959648</c:v>
                </c:pt>
                <c:pt idx="862">
                  <c:v>10.362710103541303</c:v>
                </c:pt>
                <c:pt idx="863">
                  <c:v>12.842591642130486</c:v>
                </c:pt>
                <c:pt idx="864">
                  <c:v>-0.43273488908036484</c:v>
                </c:pt>
                <c:pt idx="865">
                  <c:v>2.9609281288902984</c:v>
                </c:pt>
                <c:pt idx="866">
                  <c:v>4.9783326034127668</c:v>
                </c:pt>
                <c:pt idx="867">
                  <c:v>1.8595857132161484</c:v>
                </c:pt>
                <c:pt idx="868">
                  <c:v>-0.28445317676249154</c:v>
                </c:pt>
                <c:pt idx="869">
                  <c:v>1.7043923012795688</c:v>
                </c:pt>
                <c:pt idx="870">
                  <c:v>19.990865401754419</c:v>
                </c:pt>
                <c:pt idx="871">
                  <c:v>33.35354815620785</c:v>
                </c:pt>
                <c:pt idx="872">
                  <c:v>-0.69546354304359548</c:v>
                </c:pt>
                <c:pt idx="873">
                  <c:v>29.156408180244085</c:v>
                </c:pt>
                <c:pt idx="874">
                  <c:v>23.370264433081005</c:v>
                </c:pt>
                <c:pt idx="875">
                  <c:v>5.2024735119248078</c:v>
                </c:pt>
                <c:pt idx="876">
                  <c:v>-1.6136374452132003</c:v>
                </c:pt>
                <c:pt idx="877">
                  <c:v>-1.5411540745251129</c:v>
                </c:pt>
                <c:pt idx="878">
                  <c:v>3.2135565319771757</c:v>
                </c:pt>
                <c:pt idx="879">
                  <c:v>-0.6793436211667172</c:v>
                </c:pt>
                <c:pt idx="880">
                  <c:v>1.5624207908867014</c:v>
                </c:pt>
                <c:pt idx="881">
                  <c:v>-1.3681333165541427</c:v>
                </c:pt>
                <c:pt idx="882">
                  <c:v>0.21709003995242276</c:v>
                </c:pt>
                <c:pt idx="883">
                  <c:v>11.1135713009661</c:v>
                </c:pt>
                <c:pt idx="884">
                  <c:v>10.115279267140579</c:v>
                </c:pt>
                <c:pt idx="885">
                  <c:v>36.515140980578934</c:v>
                </c:pt>
                <c:pt idx="886">
                  <c:v>11.493120158762963</c:v>
                </c:pt>
                <c:pt idx="887">
                  <c:v>0.60335771993125964</c:v>
                </c:pt>
                <c:pt idx="888">
                  <c:v>14.237548138910256</c:v>
                </c:pt>
                <c:pt idx="889">
                  <c:v>-0.46967016695884212</c:v>
                </c:pt>
                <c:pt idx="890">
                  <c:v>18.36523278063224</c:v>
                </c:pt>
                <c:pt idx="891">
                  <c:v>29.531023479861389</c:v>
                </c:pt>
                <c:pt idx="892">
                  <c:v>2.5039928389162078</c:v>
                </c:pt>
                <c:pt idx="893">
                  <c:v>36.532234575312046</c:v>
                </c:pt>
                <c:pt idx="894">
                  <c:v>4.8392417325266166</c:v>
                </c:pt>
                <c:pt idx="895">
                  <c:v>52.52372028995002</c:v>
                </c:pt>
                <c:pt idx="896">
                  <c:v>1.0497551601353383</c:v>
                </c:pt>
                <c:pt idx="897">
                  <c:v>24.117253265108261</c:v>
                </c:pt>
                <c:pt idx="898">
                  <c:v>16.473234065243489</c:v>
                </c:pt>
                <c:pt idx="899">
                  <c:v>8.1253191904840776</c:v>
                </c:pt>
                <c:pt idx="900">
                  <c:v>12.728509953162373</c:v>
                </c:pt>
                <c:pt idx="901">
                  <c:v>4.0098822565234684</c:v>
                </c:pt>
                <c:pt idx="902">
                  <c:v>27.825997615408639</c:v>
                </c:pt>
                <c:pt idx="903">
                  <c:v>-3.9408801272956318E-2</c:v>
                </c:pt>
                <c:pt idx="904">
                  <c:v>0.12725387329573487</c:v>
                </c:pt>
                <c:pt idx="905">
                  <c:v>19.791594087001059</c:v>
                </c:pt>
                <c:pt idx="906">
                  <c:v>18.005313056247886</c:v>
                </c:pt>
                <c:pt idx="907">
                  <c:v>41.602904121494419</c:v>
                </c:pt>
                <c:pt idx="908">
                  <c:v>10.35378872368733</c:v>
                </c:pt>
                <c:pt idx="909">
                  <c:v>-0.26113962662053947</c:v>
                </c:pt>
                <c:pt idx="910">
                  <c:v>1.913600499435002</c:v>
                </c:pt>
                <c:pt idx="911">
                  <c:v>0.38836705655501536</c:v>
                </c:pt>
                <c:pt idx="912">
                  <c:v>-1.4607197676881087</c:v>
                </c:pt>
                <c:pt idx="913">
                  <c:v>2.6440766148035282</c:v>
                </c:pt>
                <c:pt idx="914">
                  <c:v>17.745266291736584</c:v>
                </c:pt>
                <c:pt idx="915">
                  <c:v>29.181968851129653</c:v>
                </c:pt>
                <c:pt idx="916">
                  <c:v>4.6531945421960472</c:v>
                </c:pt>
                <c:pt idx="917">
                  <c:v>4.9363260256325674</c:v>
                </c:pt>
                <c:pt idx="918">
                  <c:v>29.014997553266127</c:v>
                </c:pt>
                <c:pt idx="919">
                  <c:v>10.690911953538574</c:v>
                </c:pt>
                <c:pt idx="920">
                  <c:v>-1.091421151594556</c:v>
                </c:pt>
                <c:pt idx="921">
                  <c:v>-2.2418267514280146</c:v>
                </c:pt>
                <c:pt idx="922">
                  <c:v>4.8119350863411938</c:v>
                </c:pt>
                <c:pt idx="923">
                  <c:v>-0.56957955409020522</c:v>
                </c:pt>
                <c:pt idx="924">
                  <c:v>42.647381292080581</c:v>
                </c:pt>
                <c:pt idx="925">
                  <c:v>-1.2154519765629541</c:v>
                </c:pt>
                <c:pt idx="926">
                  <c:v>0.26135416641867265</c:v>
                </c:pt>
                <c:pt idx="927">
                  <c:v>0.86751219587759687</c:v>
                </c:pt>
                <c:pt idx="928">
                  <c:v>-1.3984695542500345</c:v>
                </c:pt>
                <c:pt idx="929">
                  <c:v>31.621426048070461</c:v>
                </c:pt>
                <c:pt idx="930">
                  <c:v>4.2791377306232619</c:v>
                </c:pt>
                <c:pt idx="931">
                  <c:v>41.339875276927827</c:v>
                </c:pt>
                <c:pt idx="932">
                  <c:v>1.1094293546990879</c:v>
                </c:pt>
                <c:pt idx="933">
                  <c:v>1.2484219701273427</c:v>
                </c:pt>
                <c:pt idx="934">
                  <c:v>0.5790544232251591</c:v>
                </c:pt>
                <c:pt idx="935">
                  <c:v>5.6434302154403611</c:v>
                </c:pt>
                <c:pt idx="936">
                  <c:v>0.12512995761835863</c:v>
                </c:pt>
                <c:pt idx="937">
                  <c:v>0.8408061798636558</c:v>
                </c:pt>
                <c:pt idx="938">
                  <c:v>-0.27992326795152422</c:v>
                </c:pt>
                <c:pt idx="939">
                  <c:v>11.032849755032458</c:v>
                </c:pt>
                <c:pt idx="940">
                  <c:v>13.625843417165498</c:v>
                </c:pt>
                <c:pt idx="941">
                  <c:v>7.3881882943765476</c:v>
                </c:pt>
                <c:pt idx="942">
                  <c:v>43.191326246527993</c:v>
                </c:pt>
                <c:pt idx="943">
                  <c:v>1.7772282871158467</c:v>
                </c:pt>
                <c:pt idx="944">
                  <c:v>11.526828521177819</c:v>
                </c:pt>
                <c:pt idx="945">
                  <c:v>2.343819639901767</c:v>
                </c:pt>
                <c:pt idx="946">
                  <c:v>17.795311511620937</c:v>
                </c:pt>
                <c:pt idx="947">
                  <c:v>2.8157344194491003</c:v>
                </c:pt>
                <c:pt idx="948">
                  <c:v>0.16186438607221731</c:v>
                </c:pt>
                <c:pt idx="949">
                  <c:v>26.266227833523871</c:v>
                </c:pt>
                <c:pt idx="950">
                  <c:v>-2.2526634026901036</c:v>
                </c:pt>
                <c:pt idx="951">
                  <c:v>0.43532662274453576</c:v>
                </c:pt>
                <c:pt idx="952">
                  <c:v>-3.1366074829178672</c:v>
                </c:pt>
                <c:pt idx="953">
                  <c:v>4.5718986759312656</c:v>
                </c:pt>
                <c:pt idx="954">
                  <c:v>20.60012779369805</c:v>
                </c:pt>
                <c:pt idx="955">
                  <c:v>65.246962321279454</c:v>
                </c:pt>
                <c:pt idx="956">
                  <c:v>-1.1327642414293793</c:v>
                </c:pt>
                <c:pt idx="957">
                  <c:v>1.7833707069817741</c:v>
                </c:pt>
                <c:pt idx="958">
                  <c:v>2.0079216505165789</c:v>
                </c:pt>
                <c:pt idx="959">
                  <c:v>-0.96180611566339203</c:v>
                </c:pt>
                <c:pt idx="960">
                  <c:v>36.413876954246717</c:v>
                </c:pt>
                <c:pt idx="961">
                  <c:v>1.3799949904128925</c:v>
                </c:pt>
                <c:pt idx="962">
                  <c:v>-1.4289850320319075</c:v>
                </c:pt>
                <c:pt idx="963">
                  <c:v>19.993484721877195</c:v>
                </c:pt>
                <c:pt idx="964">
                  <c:v>4.0895152080045705</c:v>
                </c:pt>
                <c:pt idx="965">
                  <c:v>23.730356890410206</c:v>
                </c:pt>
                <c:pt idx="966">
                  <c:v>5.1410255133787359</c:v>
                </c:pt>
                <c:pt idx="967">
                  <c:v>-0.85459033258191064</c:v>
                </c:pt>
                <c:pt idx="968">
                  <c:v>7.1420289409407616</c:v>
                </c:pt>
                <c:pt idx="969">
                  <c:v>61.270329345594845</c:v>
                </c:pt>
                <c:pt idx="970">
                  <c:v>-2.8388768790970076</c:v>
                </c:pt>
                <c:pt idx="971">
                  <c:v>84.869237470178703</c:v>
                </c:pt>
                <c:pt idx="972">
                  <c:v>1.6139028064972081</c:v>
                </c:pt>
                <c:pt idx="973">
                  <c:v>18.543775020059485</c:v>
                </c:pt>
                <c:pt idx="974">
                  <c:v>23.033080082788373</c:v>
                </c:pt>
                <c:pt idx="975">
                  <c:v>0.1741354014226188</c:v>
                </c:pt>
                <c:pt idx="976">
                  <c:v>8.0530798995833948</c:v>
                </c:pt>
                <c:pt idx="977">
                  <c:v>9.7842339390460751</c:v>
                </c:pt>
                <c:pt idx="978">
                  <c:v>-3.288249037355595E-2</c:v>
                </c:pt>
                <c:pt idx="979">
                  <c:v>-0.45512442311420775</c:v>
                </c:pt>
                <c:pt idx="980">
                  <c:v>-3.2115048865108561E-2</c:v>
                </c:pt>
                <c:pt idx="981">
                  <c:v>23.773240086889388</c:v>
                </c:pt>
                <c:pt idx="982">
                  <c:v>20.22466576637278</c:v>
                </c:pt>
                <c:pt idx="983">
                  <c:v>19.074541109873053</c:v>
                </c:pt>
                <c:pt idx="984">
                  <c:v>-3.3975700640818944</c:v>
                </c:pt>
                <c:pt idx="985">
                  <c:v>1.2397124870152831</c:v>
                </c:pt>
                <c:pt idx="986">
                  <c:v>-0.58762544869976763</c:v>
                </c:pt>
                <c:pt idx="987">
                  <c:v>15.335369170648903</c:v>
                </c:pt>
                <c:pt idx="988">
                  <c:v>0.78116874717057883</c:v>
                </c:pt>
                <c:pt idx="989">
                  <c:v>25.361232854033361</c:v>
                </c:pt>
                <c:pt idx="990">
                  <c:v>0.34918321833965527</c:v>
                </c:pt>
                <c:pt idx="991">
                  <c:v>12.009600167930856</c:v>
                </c:pt>
                <c:pt idx="992">
                  <c:v>4.9746421152304379</c:v>
                </c:pt>
                <c:pt idx="993">
                  <c:v>7.3898875536596051</c:v>
                </c:pt>
                <c:pt idx="994">
                  <c:v>46.815783455924773</c:v>
                </c:pt>
                <c:pt idx="995">
                  <c:v>12.778820340718582</c:v>
                </c:pt>
                <c:pt idx="996">
                  <c:v>5.9756008080090339</c:v>
                </c:pt>
                <c:pt idx="997">
                  <c:v>57.932559042439365</c:v>
                </c:pt>
                <c:pt idx="998">
                  <c:v>-0.19050793044946679</c:v>
                </c:pt>
                <c:pt idx="999">
                  <c:v>41.632810099148642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B-5349-A49D-F6C553DFA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858639"/>
        <c:axId val="1113169951"/>
      </c:scatterChart>
      <c:valAx>
        <c:axId val="111885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169951"/>
        <c:crosses val="autoZero"/>
        <c:crossBetween val="midCat"/>
      </c:valAx>
      <c:valAx>
        <c:axId val="111316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858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Sheet1!$X$1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Sheet1!$W$2:$W$21</c:f>
              <c:numCache>
                <c:formatCode>General</c:formatCode>
                <c:ptCount val="20"/>
                <c:pt idx="0">
                  <c:v>-6.5503928242581395</c:v>
                </c:pt>
                <c:pt idx="1">
                  <c:v>-5.9509383739010469</c:v>
                </c:pt>
                <c:pt idx="2">
                  <c:v>-5.3514839235439542</c:v>
                </c:pt>
                <c:pt idx="3">
                  <c:v>-4.7520294731868615</c:v>
                </c:pt>
                <c:pt idx="4">
                  <c:v>-4.1525750228297689</c:v>
                </c:pt>
                <c:pt idx="5">
                  <c:v>-3.5531205724726762</c:v>
                </c:pt>
                <c:pt idx="6">
                  <c:v>-2.9536661221155835</c:v>
                </c:pt>
                <c:pt idx="7">
                  <c:v>-2.3542116717584909</c:v>
                </c:pt>
                <c:pt idx="8">
                  <c:v>-1.7547572214013984</c:v>
                </c:pt>
                <c:pt idx="9">
                  <c:v>-1.155302771044306</c:v>
                </c:pt>
                <c:pt idx="10">
                  <c:v>-0.55584832068721357</c:v>
                </c:pt>
                <c:pt idx="11">
                  <c:v>4.3606129669878868E-2</c:v>
                </c:pt>
                <c:pt idx="12">
                  <c:v>0.64306058002697131</c:v>
                </c:pt>
                <c:pt idx="13">
                  <c:v>1.2425150303840637</c:v>
                </c:pt>
                <c:pt idx="14">
                  <c:v>1.8419694807411562</c:v>
                </c:pt>
                <c:pt idx="15">
                  <c:v>2.4414239310982486</c:v>
                </c:pt>
                <c:pt idx="16">
                  <c:v>3.0408783814553413</c:v>
                </c:pt>
                <c:pt idx="17">
                  <c:v>3.6403328318124339</c:v>
                </c:pt>
                <c:pt idx="18">
                  <c:v>4.2397872821695266</c:v>
                </c:pt>
                <c:pt idx="19">
                  <c:v>4.8392417325266166</c:v>
                </c:pt>
              </c:numCache>
            </c:numRef>
          </c:cat>
          <c:val>
            <c:numRef>
              <c:f>Sheet1!$X$2:$X$21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8</c:v>
                </c:pt>
                <c:pt idx="6">
                  <c:v>15</c:v>
                </c:pt>
                <c:pt idx="7">
                  <c:v>25</c:v>
                </c:pt>
                <c:pt idx="8">
                  <c:v>46</c:v>
                </c:pt>
                <c:pt idx="9">
                  <c:v>95</c:v>
                </c:pt>
                <c:pt idx="10">
                  <c:v>144</c:v>
                </c:pt>
                <c:pt idx="11">
                  <c:v>172</c:v>
                </c:pt>
                <c:pt idx="12">
                  <c:v>168</c:v>
                </c:pt>
                <c:pt idx="13">
                  <c:v>144</c:v>
                </c:pt>
                <c:pt idx="14">
                  <c:v>79</c:v>
                </c:pt>
                <c:pt idx="15">
                  <c:v>44</c:v>
                </c:pt>
                <c:pt idx="16">
                  <c:v>26</c:v>
                </c:pt>
                <c:pt idx="17">
                  <c:v>23</c:v>
                </c:pt>
                <c:pt idx="18">
                  <c:v>4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0-F649-BE86-DC6DD168C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9595343"/>
        <c:axId val="789596991"/>
      </c:barChart>
      <c:catAx>
        <c:axId val="789595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596991"/>
        <c:crosses val="autoZero"/>
        <c:auto val="1"/>
        <c:lblAlgn val="ctr"/>
        <c:lblOffset val="100"/>
        <c:noMultiLvlLbl val="0"/>
      </c:catAx>
      <c:valAx>
        <c:axId val="78959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595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85705293769109E-2"/>
          <c:y val="0.1901853740177511"/>
          <c:w val="0.88330464534437014"/>
          <c:h val="0.7275850143846138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Sheet1!$K$1</c:f>
              <c:strCache>
                <c:ptCount val="1"/>
                <c:pt idx="0">
                  <c:v>CBS(t)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Sheet1!$H$2:$H$22</c:f>
              <c:numCache>
                <c:formatCode>General</c:formatCode>
                <c:ptCount val="21"/>
                <c:pt idx="0">
                  <c:v>100</c:v>
                </c:pt>
                <c:pt idx="1">
                  <c:v>100.63779466315677</c:v>
                </c:pt>
                <c:pt idx="2">
                  <c:v>97.315443404901984</c:v>
                </c:pt>
                <c:pt idx="3">
                  <c:v>93.476985999021863</c:v>
                </c:pt>
                <c:pt idx="4">
                  <c:v>99.959788877430597</c:v>
                </c:pt>
                <c:pt idx="5">
                  <c:v>96.335160063079584</c:v>
                </c:pt>
                <c:pt idx="6">
                  <c:v>99.454201968914234</c:v>
                </c:pt>
                <c:pt idx="7">
                  <c:v>100.57046708919071</c:v>
                </c:pt>
                <c:pt idx="8">
                  <c:v>101.95638250616575</c:v>
                </c:pt>
                <c:pt idx="9">
                  <c:v>98.772288540744668</c:v>
                </c:pt>
                <c:pt idx="10">
                  <c:v>99.220955401206268</c:v>
                </c:pt>
                <c:pt idx="11">
                  <c:v>101.85437873557927</c:v>
                </c:pt>
                <c:pt idx="12">
                  <c:v>103.81723940225174</c:v>
                </c:pt>
                <c:pt idx="13">
                  <c:v>96.479235757125579</c:v>
                </c:pt>
                <c:pt idx="14">
                  <c:v>111.3236494263233</c:v>
                </c:pt>
                <c:pt idx="15">
                  <c:v>107.46498133884702</c:v>
                </c:pt>
                <c:pt idx="16">
                  <c:v>110.26566354278877</c:v>
                </c:pt>
                <c:pt idx="17">
                  <c:v>108.62291354066215</c:v>
                </c:pt>
                <c:pt idx="18">
                  <c:v>105.19305639668379</c:v>
                </c:pt>
                <c:pt idx="19">
                  <c:v>102.10420584245914</c:v>
                </c:pt>
              </c:numCache>
            </c:numRef>
          </c:xVal>
          <c:yVal>
            <c:numRef>
              <c:f>Sheet1!$K$2:$K$22</c:f>
              <c:numCache>
                <c:formatCode>0.00000000</c:formatCode>
                <c:ptCount val="21"/>
                <c:pt idx="0">
                  <c:v>9.9250537172744444</c:v>
                </c:pt>
                <c:pt idx="1">
                  <c:v>10.008292761310315</c:v>
                </c:pt>
                <c:pt idx="2">
                  <c:v>7.7254019690384794</c:v>
                </c:pt>
                <c:pt idx="3">
                  <c:v>5.4637353191056448</c:v>
                </c:pt>
                <c:pt idx="4">
                  <c:v>8.6094567488567648</c:v>
                </c:pt>
                <c:pt idx="5">
                  <c:v>6.2425934009888095</c:v>
                </c:pt>
                <c:pt idx="6">
                  <c:v>7.6189197929824317</c:v>
                </c:pt>
                <c:pt idx="7">
                  <c:v>7.9242119007786016</c:v>
                </c:pt>
                <c:pt idx="8">
                  <c:v>8.4123056609481495</c:v>
                </c:pt>
                <c:pt idx="9">
                  <c:v>6.1256213237003081</c:v>
                </c:pt>
                <c:pt idx="10">
                  <c:v>5.9807962153786889</c:v>
                </c:pt>
                <c:pt idx="11">
                  <c:v>7.1299453877145282</c:v>
                </c:pt>
                <c:pt idx="12">
                  <c:v>7.9822192468389659</c:v>
                </c:pt>
                <c:pt idx="13">
                  <c:v>3.3344261602170633</c:v>
                </c:pt>
                <c:pt idx="14">
                  <c:v>13.041415460365954</c:v>
                </c:pt>
                <c:pt idx="15">
                  <c:v>9.2963154693511996</c:v>
                </c:pt>
                <c:pt idx="16">
                  <c:v>11.266504981633247</c:v>
                </c:pt>
                <c:pt idx="17">
                  <c:v>9.325268679105065</c:v>
                </c:pt>
                <c:pt idx="18">
                  <c:v>5.6956847492414369</c:v>
                </c:pt>
                <c:pt idx="19">
                  <c:v>2.1042098424590563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7-5141-997C-C0A172F8B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293296"/>
        <c:axId val="324294976"/>
      </c:scatterChart>
      <c:valAx>
        <c:axId val="32429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94976"/>
        <c:crosses val="autoZero"/>
        <c:crossBetween val="midCat"/>
      </c:valAx>
      <c:valAx>
        <c:axId val="32429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9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S(t)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Sheet1!$H$2:$H$21</c:f>
              <c:numCache>
                <c:formatCode>General</c:formatCode>
                <c:ptCount val="20"/>
                <c:pt idx="0">
                  <c:v>100</c:v>
                </c:pt>
                <c:pt idx="1">
                  <c:v>100.63779466315677</c:v>
                </c:pt>
                <c:pt idx="2">
                  <c:v>97.315443404901984</c:v>
                </c:pt>
                <c:pt idx="3">
                  <c:v>93.476985999021863</c:v>
                </c:pt>
                <c:pt idx="4">
                  <c:v>99.959788877430597</c:v>
                </c:pt>
                <c:pt idx="5">
                  <c:v>96.335160063079584</c:v>
                </c:pt>
                <c:pt idx="6">
                  <c:v>99.454201968914234</c:v>
                </c:pt>
                <c:pt idx="7">
                  <c:v>100.57046708919071</c:v>
                </c:pt>
                <c:pt idx="8">
                  <c:v>101.95638250616575</c:v>
                </c:pt>
                <c:pt idx="9">
                  <c:v>98.772288540744668</c:v>
                </c:pt>
                <c:pt idx="10">
                  <c:v>99.220955401206268</c:v>
                </c:pt>
                <c:pt idx="11">
                  <c:v>101.85437873557927</c:v>
                </c:pt>
                <c:pt idx="12">
                  <c:v>103.81723940225174</c:v>
                </c:pt>
                <c:pt idx="13">
                  <c:v>96.479235757125579</c:v>
                </c:pt>
                <c:pt idx="14">
                  <c:v>111.3236494263233</c:v>
                </c:pt>
                <c:pt idx="15">
                  <c:v>107.46498133884702</c:v>
                </c:pt>
                <c:pt idx="16">
                  <c:v>110.26566354278877</c:v>
                </c:pt>
                <c:pt idx="17">
                  <c:v>108.62291354066215</c:v>
                </c:pt>
                <c:pt idx="18">
                  <c:v>105.19305639668379</c:v>
                </c:pt>
                <c:pt idx="19">
                  <c:v>102.10420584245914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0-D04D-B314-534F630C2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356624"/>
        <c:axId val="395358272"/>
      </c:lineChart>
      <c:catAx>
        <c:axId val="395356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58272"/>
        <c:crosses val="autoZero"/>
        <c:auto val="1"/>
        <c:lblAlgn val="ctr"/>
        <c:lblOffset val="100"/>
        <c:noMultiLvlLbl val="0"/>
      </c:catAx>
      <c:valAx>
        <c:axId val="39535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Sheet1!$O$1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Sheet1!$H$2:$H$21</c:f>
              <c:numCache>
                <c:formatCode>General</c:formatCode>
                <c:ptCount val="20"/>
                <c:pt idx="0">
                  <c:v>100</c:v>
                </c:pt>
                <c:pt idx="1">
                  <c:v>100.63779466315677</c:v>
                </c:pt>
                <c:pt idx="2">
                  <c:v>97.315443404901984</c:v>
                </c:pt>
                <c:pt idx="3">
                  <c:v>93.476985999021863</c:v>
                </c:pt>
                <c:pt idx="4">
                  <c:v>99.959788877430597</c:v>
                </c:pt>
                <c:pt idx="5">
                  <c:v>96.335160063079584</c:v>
                </c:pt>
                <c:pt idx="6">
                  <c:v>99.454201968914234</c:v>
                </c:pt>
                <c:pt idx="7">
                  <c:v>100.57046708919071</c:v>
                </c:pt>
                <c:pt idx="8">
                  <c:v>101.95638250616575</c:v>
                </c:pt>
                <c:pt idx="9">
                  <c:v>98.772288540744668</c:v>
                </c:pt>
                <c:pt idx="10">
                  <c:v>99.220955401206268</c:v>
                </c:pt>
                <c:pt idx="11">
                  <c:v>101.85437873557927</c:v>
                </c:pt>
                <c:pt idx="12">
                  <c:v>103.81723940225174</c:v>
                </c:pt>
                <c:pt idx="13">
                  <c:v>96.479235757125579</c:v>
                </c:pt>
                <c:pt idx="14">
                  <c:v>111.3236494263233</c:v>
                </c:pt>
                <c:pt idx="15">
                  <c:v>107.46498133884702</c:v>
                </c:pt>
                <c:pt idx="16">
                  <c:v>110.26566354278877</c:v>
                </c:pt>
                <c:pt idx="17">
                  <c:v>108.62291354066215</c:v>
                </c:pt>
                <c:pt idx="18">
                  <c:v>105.19305639668379</c:v>
                </c:pt>
                <c:pt idx="19">
                  <c:v>102.10420584245914</c:v>
                </c:pt>
              </c:numCache>
            </c:numRef>
          </c:xVal>
          <c:yVal>
            <c:numRef>
              <c:f>Sheet1!$O$2:$O$21</c:f>
              <c:numCache>
                <c:formatCode>General</c:formatCode>
                <c:ptCount val="20"/>
                <c:pt idx="0">
                  <c:v>9.9250537172744444</c:v>
                </c:pt>
                <c:pt idx="1">
                  <c:v>10.209847539982121</c:v>
                </c:pt>
                <c:pt idx="2">
                  <c:v>8.0142786220777325</c:v>
                </c:pt>
                <c:pt idx="3">
                  <c:v>5.7844053885910256</c:v>
                </c:pt>
                <c:pt idx="4">
                  <c:v>8.7085228017295222</c:v>
                </c:pt>
                <c:pt idx="5">
                  <c:v>6.4095033293520629</c:v>
                </c:pt>
                <c:pt idx="6">
                  <c:v>7.9275847290275223</c:v>
                </c:pt>
                <c:pt idx="7">
                  <c:v>8.4748221358965381</c:v>
                </c:pt>
                <c:pt idx="8">
                  <c:v>9.2064962075438004</c:v>
                </c:pt>
                <c:pt idx="9">
                  <c:v>7.0542187031615526</c:v>
                </c:pt>
                <c:pt idx="10">
                  <c:v>7.2020149083659248</c:v>
                </c:pt>
                <c:pt idx="11">
                  <c:v>8.5735550182502536</c:v>
                </c:pt>
                <c:pt idx="12">
                  <c:v>9.6958901142996154</c:v>
                </c:pt>
                <c:pt idx="13">
                  <c:v>4.5159180083439097</c:v>
                </c:pt>
                <c:pt idx="14">
                  <c:v>10.97123659628123</c:v>
                </c:pt>
                <c:pt idx="15">
                  <c:v>7.3725272251070919</c:v>
                </c:pt>
                <c:pt idx="16">
                  <c:v>9.5035092685134686</c:v>
                </c:pt>
                <c:pt idx="17">
                  <c:v>7.8147140014865499</c:v>
                </c:pt>
                <c:pt idx="18">
                  <c:v>4.4835101092659784</c:v>
                </c:pt>
                <c:pt idx="19">
                  <c:v>1.5815185531788671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4-1348-A44A-0BA3727B3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201952"/>
        <c:axId val="1146323535"/>
      </c:scatterChart>
      <c:valAx>
        <c:axId val="192320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323535"/>
        <c:crosses val="autoZero"/>
        <c:crossBetween val="midCat"/>
      </c:valAx>
      <c:valAx>
        <c:axId val="114632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20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Sheet1!$P$1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Sheet1!$H$2:$H$21</c:f>
              <c:numCache>
                <c:formatCode>General</c:formatCode>
                <c:ptCount val="20"/>
                <c:pt idx="0">
                  <c:v>100</c:v>
                </c:pt>
                <c:pt idx="1">
                  <c:v>100.63779466315677</c:v>
                </c:pt>
                <c:pt idx="2">
                  <c:v>97.315443404901984</c:v>
                </c:pt>
                <c:pt idx="3">
                  <c:v>93.476985999021863</c:v>
                </c:pt>
                <c:pt idx="4">
                  <c:v>99.959788877430597</c:v>
                </c:pt>
                <c:pt idx="5">
                  <c:v>96.335160063079584</c:v>
                </c:pt>
                <c:pt idx="6">
                  <c:v>99.454201968914234</c:v>
                </c:pt>
                <c:pt idx="7">
                  <c:v>100.57046708919071</c:v>
                </c:pt>
                <c:pt idx="8">
                  <c:v>101.95638250616575</c:v>
                </c:pt>
                <c:pt idx="9">
                  <c:v>98.772288540744668</c:v>
                </c:pt>
                <c:pt idx="10">
                  <c:v>99.220955401206268</c:v>
                </c:pt>
                <c:pt idx="11">
                  <c:v>101.85437873557927</c:v>
                </c:pt>
                <c:pt idx="12">
                  <c:v>103.81723940225174</c:v>
                </c:pt>
                <c:pt idx="13">
                  <c:v>96.479235757125579</c:v>
                </c:pt>
                <c:pt idx="14">
                  <c:v>111.3236494263233</c:v>
                </c:pt>
                <c:pt idx="15">
                  <c:v>107.46498133884702</c:v>
                </c:pt>
                <c:pt idx="16">
                  <c:v>110.26566354278877</c:v>
                </c:pt>
                <c:pt idx="17">
                  <c:v>108.62291354066215</c:v>
                </c:pt>
                <c:pt idx="18">
                  <c:v>105.19305639668379</c:v>
                </c:pt>
                <c:pt idx="19">
                  <c:v>102.10420584245914</c:v>
                </c:pt>
              </c:numCache>
            </c:numRef>
          </c:xVal>
          <c:yVal>
            <c:numRef>
              <c:f>Sheet1!$P$2:$P$21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E-0A47-A068-42C7DD2FA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942544"/>
        <c:axId val="392944192"/>
      </c:scatterChart>
      <c:valAx>
        <c:axId val="39294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44192"/>
        <c:crosses val="autoZero"/>
        <c:crossBetween val="midCat"/>
      </c:valAx>
      <c:valAx>
        <c:axId val="39294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4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422490</xdr:colOff>
      <xdr:row>41</xdr:row>
      <xdr:rowOff>6403</xdr:rowOff>
    </xdr:from>
    <xdr:to>
      <xdr:col>11</xdr:col>
      <xdr:colOff>887034</xdr:colOff>
      <xdr:row>54</xdr:row>
      <xdr:rowOff>127711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7CE6E3B-1D5B-F21E-EFFD-B9162E970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679450</xdr:colOff>
      <xdr:row>24</xdr:row>
      <xdr:rowOff>6350</xdr:rowOff>
    </xdr:from>
    <xdr:to>
      <xdr:col>9</xdr:col>
      <xdr:colOff>184150</xdr:colOff>
      <xdr:row>37</xdr:row>
      <xdr:rowOff>107950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4177C1C-A6D1-1D46-F1C8-EAAA90C85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23</xdr:row>
      <xdr:rowOff>196850</xdr:rowOff>
    </xdr:from>
    <xdr:to>
      <xdr:col>15</xdr:col>
      <xdr:colOff>247650</xdr:colOff>
      <xdr:row>37</xdr:row>
      <xdr:rowOff>95250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E46A0E3-924B-5C02-A52E-553F5E261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539750</xdr:colOff>
      <xdr:row>4</xdr:row>
      <xdr:rowOff>31750</xdr:rowOff>
    </xdr:from>
    <xdr:to>
      <xdr:col>30</xdr:col>
      <xdr:colOff>158750</xdr:colOff>
      <xdr:row>17</xdr:row>
      <xdr:rowOff>133350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1FC37B93-DAAA-4B61-CBC0-9F3703547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25</xdr:col>
      <xdr:colOff>63500</xdr:colOff>
      <xdr:row>18</xdr:row>
      <xdr:rowOff>76200</xdr:rowOff>
    </xdr:from>
    <xdr:ext cx="4127500" cy="436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132BA63-C362-C4B0-69DC-BCC712170210}"/>
            </a:ext>
          </a:extLst>
        </xdr:cNvPr>
        <xdr:cNvSpPr txBox="1"/>
      </xdr:nvSpPr>
      <xdr:spPr>
        <a:xfrm>
          <a:off x="21602700" y="3771900"/>
          <a:ext cx="41275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This</a:t>
          </a:r>
          <a:r>
            <a:rPr lang="en-US" sz="1100" baseline="0"/>
            <a:t> distribution appears to be sensitive to the following factors:</a:t>
          </a:r>
        </a:p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226629</xdr:colOff>
      <xdr:row>22</xdr:row>
      <xdr:rowOff>44010</xdr:rowOff>
    </xdr:from>
    <xdr:to>
      <xdr:col>20</xdr:col>
      <xdr:colOff>671129</xdr:colOff>
      <xdr:row>35</xdr:row>
      <xdr:rowOff>150428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6E4235-8461-1A42-9C73-0546261D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362239</xdr:colOff>
      <xdr:row>24</xdr:row>
      <xdr:rowOff>143740</xdr:rowOff>
    </xdr:from>
    <xdr:to>
      <xdr:col>14</xdr:col>
      <xdr:colOff>821171</xdr:colOff>
      <xdr:row>38</xdr:row>
      <xdr:rowOff>58304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0CED69-A933-0945-AFCB-96C586C22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333375</xdr:colOff>
      <xdr:row>25</xdr:row>
      <xdr:rowOff>13854</xdr:rowOff>
    </xdr:from>
    <xdr:to>
      <xdr:col>8</xdr:col>
      <xdr:colOff>676852</xdr:colOff>
      <xdr:row>38</xdr:row>
      <xdr:rowOff>130463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C401B82-0A8F-5B46-ADF2-484378DB1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593396</xdr:colOff>
      <xdr:row>5</xdr:row>
      <xdr:rowOff>68098</xdr:rowOff>
    </xdr:from>
    <xdr:to>
      <xdr:col>33</xdr:col>
      <xdr:colOff>238672</xdr:colOff>
      <xdr:row>18</xdr:row>
      <xdr:rowOff>107074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0C0A3B-875E-AE43-B264-BD84D17DB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ABF9-2126-764F-8FEF-21C7BD9C95E3}">
  <sheetPr codeName="Sheet1"/>
  <dimension ref="A1:AL1001"/>
  <sheetViews>
    <sheetView tabSelected="1" zoomScaleNormal="125" workbookViewId="0">
      <selection activeCell="AI6" sqref="AI6"/>
    </sheetView>
  </sheetViews>
  <sheetFormatPr baseColWidth="10" defaultRowHeight="16" x14ac:dyDescent="0.2"/>
  <cols>
    <col min="2" max="2" width="15.33203125" bestFit="1" customWidth="1"/>
    <col min="6" max="6" width="12.33203125" bestFit="1" customWidth="1"/>
    <col min="11" max="12" width="13.6640625" bestFit="1" customWidth="1"/>
    <col min="17" max="17" width="10" style="1" bestFit="1" customWidth="1"/>
    <col min="18" max="18" width="12.6640625" style="1" bestFit="1" customWidth="1"/>
    <col min="19" max="20" width="10.83203125" style="1"/>
    <col min="21" max="21" width="12.83203125" style="1" bestFit="1" customWidth="1"/>
  </cols>
  <sheetData>
    <row r="1" spans="1:38" s="2" customFormat="1" ht="19" thickBot="1" x14ac:dyDescent="0.3">
      <c r="A1" s="12"/>
      <c r="E1" s="32" t="s">
        <v>5</v>
      </c>
      <c r="F1" s="33" t="s">
        <v>5</v>
      </c>
      <c r="G1" s="34" t="s">
        <v>6</v>
      </c>
      <c r="H1" s="34" t="s">
        <v>7</v>
      </c>
      <c r="I1" s="34" t="s">
        <v>14</v>
      </c>
      <c r="J1" s="34" t="s">
        <v>15</v>
      </c>
      <c r="K1" s="34" t="s">
        <v>16</v>
      </c>
      <c r="L1" s="33" t="s">
        <v>8</v>
      </c>
      <c r="M1" s="34" t="s">
        <v>10</v>
      </c>
      <c r="N1" s="34" t="s">
        <v>11</v>
      </c>
      <c r="O1" s="35" t="s">
        <v>17</v>
      </c>
      <c r="Q1" s="32" t="s">
        <v>19</v>
      </c>
      <c r="R1" s="34" t="s">
        <v>18</v>
      </c>
      <c r="S1" s="34" t="s">
        <v>23</v>
      </c>
      <c r="T1" s="34" t="s">
        <v>24</v>
      </c>
      <c r="U1" s="35" t="s">
        <v>12</v>
      </c>
      <c r="W1" s="32" t="s">
        <v>21</v>
      </c>
      <c r="X1" s="35" t="s">
        <v>22</v>
      </c>
      <c r="AG1" s="32" t="s">
        <v>25</v>
      </c>
      <c r="AH1" s="34" t="s">
        <v>2</v>
      </c>
      <c r="AI1" s="33" t="s">
        <v>26</v>
      </c>
      <c r="AJ1" s="34" t="s">
        <v>27</v>
      </c>
      <c r="AK1" s="34" t="s">
        <v>28</v>
      </c>
      <c r="AL1" s="35" t="s">
        <v>29</v>
      </c>
    </row>
    <row r="2" spans="1:38" s="1" customFormat="1" x14ac:dyDescent="0.2">
      <c r="A2"/>
      <c r="B2" s="18" t="s">
        <v>20</v>
      </c>
      <c r="C2" s="13">
        <v>100</v>
      </c>
      <c r="E2" s="23">
        <v>0</v>
      </c>
      <c r="F2" s="1">
        <f>C6</f>
        <v>1</v>
      </c>
      <c r="H2" s="1">
        <f>C2</f>
        <v>100</v>
      </c>
      <c r="I2" s="24">
        <f>(LN(H2/$C$3)+($C$4+0.5*($C$5^2))*F2)/($C$5*SQRT(F2))</f>
        <v>0.3</v>
      </c>
      <c r="J2" s="24">
        <f>(LN(H2/$C$3)+($C$4-($C$5^2)/2)*F2)/($C$5*SQRT(F2))</f>
        <v>9.9999999999999978E-2</v>
      </c>
      <c r="K2" s="25">
        <f t="shared" ref="K2:K21" si="0">H2*NORMSDIST(I2)-$C$3*EXP(-$C$4*F2)*NORMSDIST(J2)</f>
        <v>9.9250537172744444</v>
      </c>
      <c r="L2" s="1">
        <f t="shared" ref="L2:L21" si="1">NORMSDIST(I2)</f>
        <v>0.61791142218895267</v>
      </c>
      <c r="N2" s="1">
        <f>(K2-H2*L2)</f>
        <v>-51.866088501620823</v>
      </c>
      <c r="O2" s="14">
        <f>L2*H2+N2</f>
        <v>9.9250537172744444</v>
      </c>
      <c r="Q2" s="23">
        <v>1</v>
      </c>
      <c r="R2" s="9">
        <v>89.71660199885244</v>
      </c>
      <c r="S2" s="1">
        <v>0</v>
      </c>
      <c r="T2" s="1">
        <v>-4.0527741239244133</v>
      </c>
      <c r="U2" s="14">
        <v>-4.0527741239244133</v>
      </c>
      <c r="W2" s="23">
        <f>MIN(U2:U1001)</f>
        <v>-6.5503928242581395</v>
      </c>
      <c r="X2" s="14">
        <f t="array" ref="X2:X21">FREQUENCY(U2:U1001,W2:W21)</f>
        <v>1</v>
      </c>
      <c r="AG2" s="23">
        <v>1</v>
      </c>
      <c r="AH2" s="38">
        <v>0.04</v>
      </c>
      <c r="AI2" s="38">
        <v>0.2</v>
      </c>
      <c r="AJ2" s="1">
        <v>1.4770134115554869</v>
      </c>
      <c r="AK2" s="1">
        <v>-9.1542957779970083E-2</v>
      </c>
      <c r="AL2" s="14">
        <v>0.75287094717742864</v>
      </c>
    </row>
    <row r="3" spans="1:38" s="1" customFormat="1" x14ac:dyDescent="0.2">
      <c r="A3"/>
      <c r="B3" s="19" t="s">
        <v>1</v>
      </c>
      <c r="C3" s="14">
        <v>100</v>
      </c>
      <c r="E3" s="23">
        <f>E2+($C$6/19)</f>
        <v>5.2631578947368418E-2</v>
      </c>
      <c r="F3" s="1">
        <f>F2-$C$7</f>
        <v>0.94736842105263164</v>
      </c>
      <c r="G3" s="1">
        <f ca="1">NORMINV(RAND(),0,1)</f>
        <v>0.11562114618417844</v>
      </c>
      <c r="H3" s="1">
        <f ca="1">H2*EXP(($C$4-0.5*($C$5^2))*$C$7+$C$5*SQRT($C$7)*G3)</f>
        <v>100.63779466315677</v>
      </c>
      <c r="I3" s="4">
        <f ca="1">(LN(H3/$C$3)+($C$4+0.5*($C$5^2))*F3)/($C$5*SQRT(F3))</f>
        <v>0.32465810424486213</v>
      </c>
      <c r="J3" s="4">
        <f ca="1">(LN(H3/$C$3)+($C$4-($C$5^2)*0.5)*F3)/($C$5*SQRT(F3))</f>
        <v>0.12999239888794709</v>
      </c>
      <c r="K3" s="25">
        <f t="shared" ca="1" si="0"/>
        <v>10.008292761310315</v>
      </c>
      <c r="L3" s="1">
        <f t="shared" ca="1" si="1"/>
        <v>0.62728007683323117</v>
      </c>
      <c r="M3" s="1">
        <f ca="1">-(L3-L2)*H3</f>
        <v>-0.9428407423609293</v>
      </c>
      <c r="N3" s="1">
        <f ca="1">N2*EXP($C$4*$C$7)+M3</f>
        <v>-52.918236028649801</v>
      </c>
      <c r="O3" s="14">
        <f t="shared" ref="O3:O21" ca="1" si="2">L3*H3+N3</f>
        <v>10.209847539982121</v>
      </c>
      <c r="Q3" s="23">
        <v>2</v>
      </c>
      <c r="R3" s="9">
        <v>91.699389625256543</v>
      </c>
      <c r="S3" s="1">
        <v>0</v>
      </c>
      <c r="T3" s="1">
        <v>-2.5608159603774183</v>
      </c>
      <c r="U3" s="14">
        <v>-2.5608159603774183</v>
      </c>
      <c r="W3" s="23">
        <f>W2+($W$21-$W$2)/19</f>
        <v>-5.9509383739010469</v>
      </c>
      <c r="X3" s="14">
        <v>0</v>
      </c>
      <c r="AG3" s="23">
        <v>2</v>
      </c>
      <c r="AH3" s="38">
        <v>0.04</v>
      </c>
      <c r="AI3" s="38">
        <v>0.3</v>
      </c>
      <c r="AJ3" s="1">
        <v>2.3115312170063294</v>
      </c>
      <c r="AK3" s="1">
        <v>-0.69782297042938901</v>
      </c>
      <c r="AL3" s="14">
        <v>5.1282285683878222</v>
      </c>
    </row>
    <row r="4" spans="1:38" s="1" customFormat="1" ht="17" thickBot="1" x14ac:dyDescent="0.25">
      <c r="A4"/>
      <c r="B4" s="19" t="s">
        <v>2</v>
      </c>
      <c r="C4" s="15">
        <v>0.04</v>
      </c>
      <c r="E4" s="23">
        <f t="shared" ref="E4:E20" si="3">E3+($C$6/19)</f>
        <v>0.10526315789473684</v>
      </c>
      <c r="F4" s="1">
        <f t="shared" ref="F4:F20" si="4">F3-$C$7</f>
        <v>0.89473684210526327</v>
      </c>
      <c r="G4" s="1">
        <f t="shared" ref="G4:G21" ca="1" si="5">NORMINV(RAND(),0,1)</f>
        <v>-0.75458676068581176</v>
      </c>
      <c r="H4" s="1">
        <f t="shared" ref="H4:H21" ca="1" si="6">H3*EXP(($C$4-0.5*$C$5^2)*$C$7+$C$5*SQRT($C$7)*G4)</f>
        <v>97.315443404901984</v>
      </c>
      <c r="I4" s="4">
        <f ca="1">(LN(H4/$C$3)+($C$4+0.5*($C$5^2))*F4)/($C$5*SQRT(F4))</f>
        <v>0.13992796386968967</v>
      </c>
      <c r="J4" s="4">
        <f t="shared" ref="J4:J21" ca="1" si="7">(LN(H4/$C$3)+($C$4-($C$5^2)*0.5)*F4)/($C$5*SQRT(F4))</f>
        <v>-4.925309671569382E-2</v>
      </c>
      <c r="K4" s="25">
        <f t="shared" ca="1" si="0"/>
        <v>7.7254019690384794</v>
      </c>
      <c r="L4" s="1">
        <f t="shared" ca="1" si="1"/>
        <v>0.55564154666374821</v>
      </c>
      <c r="M4" s="1">
        <f t="shared" ref="M4:M21" ca="1" si="8">-(L4-L3)*H4</f>
        <v>6.9715353283186827</v>
      </c>
      <c r="N4" s="1">
        <f t="shared" ref="N4:N21" ca="1" si="9">N3*EXP($C$4*$C$7)+M4</f>
        <v>-46.058224865690462</v>
      </c>
      <c r="O4" s="14">
        <f t="shared" ca="1" si="2"/>
        <v>8.0142786220777325</v>
      </c>
      <c r="Q4" s="23">
        <v>3</v>
      </c>
      <c r="R4" s="9">
        <v>100.71475732202445</v>
      </c>
      <c r="S4" s="1">
        <v>0.7147613220243727</v>
      </c>
      <c r="T4" s="1">
        <v>4.2963424086830742</v>
      </c>
      <c r="U4" s="14">
        <v>3.5815810866587015</v>
      </c>
      <c r="W4" s="23">
        <f t="shared" ref="W4:W20" si="10">W3+($W$21-$W$2)/19</f>
        <v>-5.3514839235439542</v>
      </c>
      <c r="X4" s="14">
        <v>1</v>
      </c>
      <c r="AG4" s="26">
        <v>3</v>
      </c>
      <c r="AH4" s="39">
        <v>0.05</v>
      </c>
      <c r="AI4" s="39">
        <v>0.2</v>
      </c>
      <c r="AJ4" s="28">
        <v>1.5023172432917962</v>
      </c>
      <c r="AK4" s="28">
        <v>-0.37574783006334411</v>
      </c>
      <c r="AL4" s="17">
        <v>2.5742513978153281</v>
      </c>
    </row>
    <row r="5" spans="1:38" s="1" customFormat="1" x14ac:dyDescent="0.2">
      <c r="A5"/>
      <c r="B5" s="20" t="s">
        <v>3</v>
      </c>
      <c r="C5" s="15">
        <v>0.2</v>
      </c>
      <c r="E5" s="23">
        <f t="shared" si="3"/>
        <v>0.15789473684210525</v>
      </c>
      <c r="F5" s="1">
        <f t="shared" si="4"/>
        <v>0.84210526315789491</v>
      </c>
      <c r="G5" s="1">
        <f t="shared" ca="1" si="5"/>
        <v>-0.9000049823279207</v>
      </c>
      <c r="H5" s="1">
        <f t="shared" ca="1" si="6"/>
        <v>93.476985999021863</v>
      </c>
      <c r="I5" s="4">
        <f ca="1">(LN(H5/$C$3)+($C$4+0.5*($C$5^2))*F5)/($C$5*SQRT(F5))</f>
        <v>-9.223758852242224E-2</v>
      </c>
      <c r="J5" s="4">
        <f t="shared" ca="1" si="7"/>
        <v>-0.27577017561887168</v>
      </c>
      <c r="K5" s="25">
        <f t="shared" ca="1" si="0"/>
        <v>5.4637353191056448</v>
      </c>
      <c r="L5" s="1">
        <f t="shared" ca="1" si="1"/>
        <v>0.46325463700067954</v>
      </c>
      <c r="M5" s="1">
        <f t="shared" ca="1" si="8"/>
        <v>8.6360498610675673</v>
      </c>
      <c r="N5" s="1">
        <f t="shared" ca="1" si="9"/>
        <v>-37.51924182830345</v>
      </c>
      <c r="O5" s="14">
        <f t="shared" ca="1" si="2"/>
        <v>5.7844053885910256</v>
      </c>
      <c r="Q5" s="23">
        <v>4</v>
      </c>
      <c r="R5" s="9">
        <v>133.51284624943014</v>
      </c>
      <c r="S5" s="1">
        <v>33.512850249430059</v>
      </c>
      <c r="T5" s="1">
        <v>32.470982489938123</v>
      </c>
      <c r="U5" s="14">
        <v>-1.0418677594919359</v>
      </c>
      <c r="W5" s="23">
        <f t="shared" si="10"/>
        <v>-4.7520294731868615</v>
      </c>
      <c r="X5" s="14">
        <v>0</v>
      </c>
    </row>
    <row r="6" spans="1:38" s="1" customFormat="1" ht="15" customHeight="1" x14ac:dyDescent="0.2">
      <c r="A6"/>
      <c r="B6" s="19" t="s">
        <v>4</v>
      </c>
      <c r="C6" s="14">
        <v>1</v>
      </c>
      <c r="E6" s="23">
        <f t="shared" si="3"/>
        <v>0.21052631578947367</v>
      </c>
      <c r="F6" s="1">
        <f t="shared" si="4"/>
        <v>0.78947368421052655</v>
      </c>
      <c r="G6" s="1">
        <f t="shared" ca="1" si="5"/>
        <v>1.4384387298111312</v>
      </c>
      <c r="H6" s="1">
        <f t="shared" ca="1" si="6"/>
        <v>99.959788877430597</v>
      </c>
      <c r="I6" s="4">
        <f t="shared" ref="I6:I21" ca="1" si="11">(LN(H6/$C$3)+($C$4+0.5*($C$5^2))*F6)/($C$5*SQRT(F6))</f>
        <v>0.26429373365358927</v>
      </c>
      <c r="J6" s="4">
        <f t="shared" ca="1" si="7"/>
        <v>8.6589070325861509E-2</v>
      </c>
      <c r="K6" s="25">
        <f t="shared" ca="1" si="0"/>
        <v>8.6094567488567648</v>
      </c>
      <c r="L6" s="1">
        <f t="shared" ca="1" si="1"/>
        <v>0.6042232057563286</v>
      </c>
      <c r="M6" s="1">
        <f t="shared" ca="1" si="8"/>
        <v>-14.09118837116824</v>
      </c>
      <c r="N6" s="1">
        <f t="shared" ca="1" si="9"/>
        <v>-51.689501280517391</v>
      </c>
      <c r="O6" s="14">
        <f t="shared" ca="1" si="2"/>
        <v>8.7085228017295222</v>
      </c>
      <c r="Q6" s="23">
        <v>5</v>
      </c>
      <c r="R6" s="9">
        <v>93.021561309725243</v>
      </c>
      <c r="S6" s="1">
        <v>0</v>
      </c>
      <c r="T6" s="1">
        <v>2.4655795967614318</v>
      </c>
      <c r="U6" s="14">
        <v>2.4655795967614318</v>
      </c>
      <c r="W6" s="23">
        <f t="shared" si="10"/>
        <v>-4.1525750228297689</v>
      </c>
      <c r="X6" s="14">
        <v>3</v>
      </c>
      <c r="AF6" s="37"/>
      <c r="AG6" s="37"/>
      <c r="AH6" s="37"/>
      <c r="AI6" s="37"/>
      <c r="AJ6" s="37"/>
      <c r="AK6" s="37"/>
      <c r="AL6" s="37"/>
    </row>
    <row r="7" spans="1:38" s="1" customFormat="1" x14ac:dyDescent="0.2">
      <c r="A7"/>
      <c r="B7" s="21" t="s">
        <v>13</v>
      </c>
      <c r="C7" s="14">
        <f>E5-E4</f>
        <v>5.2631578947368418E-2</v>
      </c>
      <c r="E7" s="23">
        <f t="shared" si="3"/>
        <v>0.26315789473684209</v>
      </c>
      <c r="F7" s="1">
        <f t="shared" si="4"/>
        <v>0.73684210526315819</v>
      </c>
      <c r="G7" s="1">
        <f t="shared" ca="1" si="5"/>
        <v>-0.82791321621652036</v>
      </c>
      <c r="H7" s="1">
        <f t="shared" ca="1" si="6"/>
        <v>96.335160063079584</v>
      </c>
      <c r="I7" s="4">
        <f t="shared" ca="1" si="11"/>
        <v>4.0038103565079218E-2</v>
      </c>
      <c r="J7" s="4">
        <f t="shared" ca="1" si="7"/>
        <v>-0.13164091149071125</v>
      </c>
      <c r="K7" s="25">
        <f t="shared" ca="1" si="0"/>
        <v>6.2425934009888095</v>
      </c>
      <c r="L7" s="1">
        <f t="shared" ca="1" si="1"/>
        <v>0.51596862580836067</v>
      </c>
      <c r="M7" s="1">
        <f t="shared" ca="1" si="8"/>
        <v>8.5020190855873441</v>
      </c>
      <c r="N7" s="1">
        <f ca="1">N6*EXP($C$4*$C$7)+M7</f>
        <v>-43.296416825423577</v>
      </c>
      <c r="O7" s="14">
        <f t="shared" ca="1" si="2"/>
        <v>6.4095033293520629</v>
      </c>
      <c r="Q7" s="23">
        <v>6</v>
      </c>
      <c r="R7" s="9">
        <v>107.79770302471864</v>
      </c>
      <c r="S7" s="1">
        <v>7.7977070247185623</v>
      </c>
      <c r="T7" s="1">
        <v>6.6036801357184203</v>
      </c>
      <c r="U7" s="14">
        <v>-1.194026889000142</v>
      </c>
      <c r="W7" s="23">
        <f t="shared" si="10"/>
        <v>-3.5531205724726762</v>
      </c>
      <c r="X7" s="14">
        <v>8</v>
      </c>
      <c r="AF7" s="37"/>
      <c r="AG7" s="37"/>
      <c r="AH7" s="37"/>
      <c r="AI7" s="37"/>
      <c r="AJ7" s="37"/>
      <c r="AK7" s="37"/>
      <c r="AL7" s="37"/>
    </row>
    <row r="8" spans="1:38" s="1" customFormat="1" x14ac:dyDescent="0.2">
      <c r="A8"/>
      <c r="B8" s="19" t="s">
        <v>9</v>
      </c>
      <c r="C8" s="16">
        <v>9.9999999999999995E-7</v>
      </c>
      <c r="E8" s="23">
        <f t="shared" si="3"/>
        <v>0.31578947368421051</v>
      </c>
      <c r="F8" s="1">
        <f t="shared" si="4"/>
        <v>0.68421052631578982</v>
      </c>
      <c r="G8" s="1">
        <f t="shared" ca="1" si="5"/>
        <v>0.67151590972233688</v>
      </c>
      <c r="H8" s="1">
        <f t="shared" ca="1" si="6"/>
        <v>99.454201968914234</v>
      </c>
      <c r="I8" s="4">
        <f t="shared" ca="1" si="11"/>
        <v>0.21506881185738602</v>
      </c>
      <c r="J8" s="4">
        <f t="shared" ca="1" si="7"/>
        <v>4.9634773483683732E-2</v>
      </c>
      <c r="K8" s="25">
        <f t="shared" ca="1" si="0"/>
        <v>7.6189197929824317</v>
      </c>
      <c r="L8" s="1">
        <f t="shared" ca="1" si="1"/>
        <v>0.58514316527372534</v>
      </c>
      <c r="M8" s="1">
        <f t="shared" ca="1" si="8"/>
        <v>-6.8796986190950067</v>
      </c>
      <c r="N8" s="1">
        <f t="shared" ca="1" si="9"/>
        <v>-50.267361810835318</v>
      </c>
      <c r="O8" s="14">
        <f t="shared" ca="1" si="2"/>
        <v>7.9275847290275223</v>
      </c>
      <c r="Q8" s="23">
        <v>7</v>
      </c>
      <c r="R8" s="9">
        <v>107.34026861751342</v>
      </c>
      <c r="S8" s="1">
        <v>7.3402726175133353</v>
      </c>
      <c r="T8" s="1">
        <v>7.93529707111324</v>
      </c>
      <c r="U8" s="14">
        <v>0.59502445359990475</v>
      </c>
      <c r="W8" s="23">
        <f t="shared" si="10"/>
        <v>-2.9536661221155835</v>
      </c>
      <c r="X8" s="14">
        <v>15</v>
      </c>
    </row>
    <row r="9" spans="1:38" s="1" customFormat="1" ht="17" thickBot="1" x14ac:dyDescent="0.25">
      <c r="A9"/>
      <c r="B9" s="22" t="s">
        <v>12</v>
      </c>
      <c r="C9" s="17">
        <f ca="1">O21-K21</f>
        <v>-0.52269128928018915</v>
      </c>
      <c r="E9" s="23">
        <f t="shared" si="3"/>
        <v>0.36842105263157893</v>
      </c>
      <c r="F9" s="1">
        <f t="shared" si="4"/>
        <v>0.63157894736842146</v>
      </c>
      <c r="G9" s="1">
        <f t="shared" ca="1" si="5"/>
        <v>0.2203152903221324</v>
      </c>
      <c r="H9" s="1">
        <f t="shared" ca="1" si="6"/>
        <v>100.57046708919071</v>
      </c>
      <c r="I9" s="4">
        <f t="shared" ca="1" si="11"/>
        <v>0.27420493911093502</v>
      </c>
      <c r="J9" s="4">
        <f t="shared" ca="1" si="7"/>
        <v>0.11526105626312969</v>
      </c>
      <c r="K9" s="25">
        <f t="shared" ca="1" si="0"/>
        <v>7.9242119007786016</v>
      </c>
      <c r="L9" s="1">
        <f t="shared" ca="1" si="1"/>
        <v>0.60803643366050963</v>
      </c>
      <c r="M9" s="1">
        <f t="shared" ca="1" si="8"/>
        <v>-2.3023866948571001</v>
      </c>
      <c r="N9" s="1">
        <f t="shared" ca="1" si="9"/>
        <v>-52.675686004586638</v>
      </c>
      <c r="O9" s="14">
        <f t="shared" ca="1" si="2"/>
        <v>8.4748221358965381</v>
      </c>
      <c r="Q9" s="23">
        <v>8</v>
      </c>
      <c r="R9" s="9">
        <v>75.768513525639534</v>
      </c>
      <c r="S9" s="1">
        <v>0</v>
      </c>
      <c r="T9" s="1">
        <v>1.207083750660193</v>
      </c>
      <c r="U9" s="14">
        <v>1.207083750660193</v>
      </c>
      <c r="W9" s="23">
        <f t="shared" si="10"/>
        <v>-2.3542116717584909</v>
      </c>
      <c r="X9" s="14">
        <v>25</v>
      </c>
    </row>
    <row r="10" spans="1:38" s="1" customFormat="1" x14ac:dyDescent="0.2">
      <c r="A10"/>
      <c r="E10" s="23">
        <f t="shared" si="3"/>
        <v>0.42105263157894735</v>
      </c>
      <c r="F10" s="1">
        <f t="shared" si="4"/>
        <v>0.5789473684210531</v>
      </c>
      <c r="G10" s="1">
        <f t="shared" ca="1" si="5"/>
        <v>0.2753477427792016</v>
      </c>
      <c r="H10" s="1">
        <f t="shared" ca="1" si="6"/>
        <v>101.95638250616575</v>
      </c>
      <c r="I10" s="4">
        <f t="shared" ca="1" si="11"/>
        <v>0.35558389718592576</v>
      </c>
      <c r="J10" s="4">
        <f t="shared" ca="1" si="7"/>
        <v>0.20340671513538924</v>
      </c>
      <c r="K10" s="25">
        <f t="shared" ca="1" si="0"/>
        <v>8.4123056609481495</v>
      </c>
      <c r="L10" s="1">
        <f t="shared" ca="1" si="1"/>
        <v>0.63892389766055124</v>
      </c>
      <c r="M10" s="1">
        <f t="shared" ca="1" si="8"/>
        <v>-3.1491740942336666</v>
      </c>
      <c r="N10" s="1">
        <f ca="1">N9*EXP($C$4*$C$7)+M10</f>
        <v>-55.935873094665659</v>
      </c>
      <c r="O10" s="14">
        <f t="shared" ca="1" si="2"/>
        <v>9.2064962075438004</v>
      </c>
      <c r="Q10" s="23">
        <v>9</v>
      </c>
      <c r="R10" s="9">
        <v>95.205816406091131</v>
      </c>
      <c r="S10" s="1">
        <v>0</v>
      </c>
      <c r="T10" s="1">
        <v>0.60610745872082283</v>
      </c>
      <c r="U10" s="14">
        <v>0.60610745872082283</v>
      </c>
      <c r="W10" s="23">
        <f t="shared" si="10"/>
        <v>-1.7547572214013984</v>
      </c>
      <c r="X10" s="14">
        <v>46</v>
      </c>
    </row>
    <row r="11" spans="1:38" s="1" customFormat="1" x14ac:dyDescent="0.2">
      <c r="A11"/>
      <c r="E11" s="23">
        <f t="shared" si="3"/>
        <v>0.47368421052631576</v>
      </c>
      <c r="F11" s="1">
        <f t="shared" si="4"/>
        <v>0.52631578947368474</v>
      </c>
      <c r="G11" s="1">
        <f t="shared" ca="1" si="5"/>
        <v>-0.71443761310542142</v>
      </c>
      <c r="H11" s="1">
        <f t="shared" ca="1" si="6"/>
        <v>98.772288540744668</v>
      </c>
      <c r="I11" s="4">
        <f t="shared" ca="1" si="11"/>
        <v>0.13250500228249504</v>
      </c>
      <c r="J11" s="4">
        <f t="shared" ca="1" si="7"/>
        <v>-1.2590247739507397E-2</v>
      </c>
      <c r="K11" s="25">
        <f t="shared" ca="1" si="0"/>
        <v>6.1256213237003081</v>
      </c>
      <c r="L11" s="1">
        <f t="shared" ca="1" si="1"/>
        <v>0.55270756666774157</v>
      </c>
      <c r="M11" s="1">
        <f t="shared" ca="1" si="8"/>
        <v>8.5157843217461444</v>
      </c>
      <c r="N11" s="1">
        <f t="shared" ca="1" si="9"/>
        <v>-47.537972550397491</v>
      </c>
      <c r="O11" s="14">
        <f t="shared" ca="1" si="2"/>
        <v>7.0542187031615526</v>
      </c>
      <c r="Q11" s="23">
        <v>10</v>
      </c>
      <c r="R11" s="9">
        <v>139.38226040854138</v>
      </c>
      <c r="S11" s="1">
        <v>39.382264408541303</v>
      </c>
      <c r="T11" s="1">
        <v>40.39124131639511</v>
      </c>
      <c r="U11" s="14">
        <v>1.0089769078538069</v>
      </c>
      <c r="W11" s="23">
        <f t="shared" si="10"/>
        <v>-1.155302771044306</v>
      </c>
      <c r="X11" s="14">
        <v>95</v>
      </c>
    </row>
    <row r="12" spans="1:38" s="1" customFormat="1" x14ac:dyDescent="0.2">
      <c r="A12"/>
      <c r="B12" s="1" t="s">
        <v>30</v>
      </c>
      <c r="E12" s="23">
        <f t="shared" si="3"/>
        <v>0.52631578947368418</v>
      </c>
      <c r="F12" s="1">
        <f t="shared" si="4"/>
        <v>0.47368421052631632</v>
      </c>
      <c r="G12" s="1">
        <f t="shared" ca="1" si="5"/>
        <v>7.5834365260586373E-2</v>
      </c>
      <c r="H12" s="1">
        <f t="shared" ca="1" si="6"/>
        <v>99.220955401206268</v>
      </c>
      <c r="I12" s="4">
        <f t="shared" ca="1" si="11"/>
        <v>0.14965627568832376</v>
      </c>
      <c r="J12" s="4">
        <f t="shared" ca="1" si="7"/>
        <v>1.2006835365986587E-2</v>
      </c>
      <c r="K12" s="25">
        <f t="shared" ca="1" si="0"/>
        <v>5.9807962153786889</v>
      </c>
      <c r="L12" s="1">
        <f t="shared" ca="1" si="1"/>
        <v>0.55948209674089222</v>
      </c>
      <c r="M12" s="1">
        <f t="shared" ca="1" si="8"/>
        <v>-0.67217534625221154</v>
      </c>
      <c r="N12" s="1">
        <f t="shared" ca="1" si="9"/>
        <v>-48.310333260135515</v>
      </c>
      <c r="O12" s="14">
        <f t="shared" ca="1" si="2"/>
        <v>7.2020149083659248</v>
      </c>
      <c r="Q12" s="23">
        <v>11</v>
      </c>
      <c r="R12" s="9">
        <v>90.621874482793714</v>
      </c>
      <c r="S12" s="1">
        <v>0</v>
      </c>
      <c r="T12" s="1">
        <v>-0.15893300884620443</v>
      </c>
      <c r="U12" s="14">
        <v>-0.15893300884620443</v>
      </c>
      <c r="W12" s="23">
        <f t="shared" si="10"/>
        <v>-0.55584832068721357</v>
      </c>
      <c r="X12" s="14">
        <v>144</v>
      </c>
    </row>
    <row r="13" spans="1:38" s="1" customFormat="1" x14ac:dyDescent="0.2">
      <c r="A13"/>
      <c r="E13" s="23">
        <f t="shared" si="3"/>
        <v>0.57894736842105265</v>
      </c>
      <c r="F13" s="1">
        <f t="shared" si="4"/>
        <v>0.4210526315789479</v>
      </c>
      <c r="G13" s="1">
        <f t="shared" ca="1" si="5"/>
        <v>0.54796298849126712</v>
      </c>
      <c r="H13" s="1">
        <f t="shared" ca="1" si="6"/>
        <v>101.85437873557927</v>
      </c>
      <c r="I13" s="4">
        <f t="shared" ca="1" si="11"/>
        <v>0.33624648146714026</v>
      </c>
      <c r="J13" s="4">
        <f t="shared" ca="1" si="7"/>
        <v>0.20646934456253008</v>
      </c>
      <c r="K13" s="25">
        <f t="shared" ca="1" si="0"/>
        <v>7.1299453877145282</v>
      </c>
      <c r="L13" s="1">
        <f ca="1">NORMSDIST(I13)</f>
        <v>0.6316574979097731</v>
      </c>
      <c r="M13" s="1">
        <f t="shared" ca="1" si="8"/>
        <v>-7.3513806460475646</v>
      </c>
      <c r="N13" s="1">
        <f t="shared" ca="1" si="9"/>
        <v>-55.763527005020144</v>
      </c>
      <c r="O13" s="14">
        <f t="shared" ca="1" si="2"/>
        <v>8.5735550182502536</v>
      </c>
      <c r="Q13" s="23">
        <v>12</v>
      </c>
      <c r="R13" s="9">
        <v>148.87690213123292</v>
      </c>
      <c r="S13" s="1">
        <v>48.876906131232843</v>
      </c>
      <c r="T13" s="1">
        <v>49.082531769649776</v>
      </c>
      <c r="U13" s="14">
        <v>0.20562563841693304</v>
      </c>
      <c r="W13" s="23">
        <f t="shared" si="10"/>
        <v>4.3606129669878868E-2</v>
      </c>
      <c r="X13" s="14">
        <v>172</v>
      </c>
    </row>
    <row r="14" spans="1:38" s="1" customFormat="1" x14ac:dyDescent="0.2">
      <c r="A14"/>
      <c r="E14" s="23">
        <f t="shared" si="3"/>
        <v>0.63157894736842102</v>
      </c>
      <c r="F14" s="1">
        <f t="shared" si="4"/>
        <v>0.36842105263157948</v>
      </c>
      <c r="G14" s="1">
        <f t="shared" ca="1" si="5"/>
        <v>0.39306969446360984</v>
      </c>
      <c r="H14" s="1">
        <f t="shared" ca="1" si="6"/>
        <v>103.81723940225174</v>
      </c>
      <c r="I14" s="4">
        <f t="shared" ca="1" si="11"/>
        <v>0.49068678943571603</v>
      </c>
      <c r="J14" s="4">
        <f t="shared" ca="1" si="7"/>
        <v>0.3692913937023391</v>
      </c>
      <c r="K14" s="25">
        <f t="shared" ca="1" si="0"/>
        <v>7.9822192468389659</v>
      </c>
      <c r="L14" s="1">
        <f t="shared" ca="1" si="1"/>
        <v>0.68817600427928116</v>
      </c>
      <c r="M14" s="1">
        <f t="shared" ca="1" si="8"/>
        <v>-5.8675953064209079</v>
      </c>
      <c r="N14" s="1">
        <f t="shared" ca="1" si="9"/>
        <v>-61.74864287284754</v>
      </c>
      <c r="O14" s="14">
        <f t="shared" ca="1" si="2"/>
        <v>9.6958901142996154</v>
      </c>
      <c r="Q14" s="23">
        <v>13</v>
      </c>
      <c r="R14" s="9">
        <v>60.645472541300201</v>
      </c>
      <c r="S14" s="1">
        <v>0</v>
      </c>
      <c r="T14" s="1">
        <v>-1.3824711091255988</v>
      </c>
      <c r="U14" s="14">
        <v>-1.3824711091255988</v>
      </c>
      <c r="W14" s="23">
        <f t="shared" si="10"/>
        <v>0.64306058002697131</v>
      </c>
      <c r="X14" s="14">
        <v>168</v>
      </c>
    </row>
    <row r="15" spans="1:38" s="1" customFormat="1" x14ac:dyDescent="0.2">
      <c r="A15"/>
      <c r="E15" s="23">
        <f t="shared" si="3"/>
        <v>0.68421052631578938</v>
      </c>
      <c r="F15" s="1">
        <f t="shared" si="4"/>
        <v>0.31578947368421106</v>
      </c>
      <c r="G15" s="1">
        <f t="shared" ca="1" si="5"/>
        <v>-1.6205701860290456</v>
      </c>
      <c r="H15" s="1">
        <f t="shared" ca="1" si="6"/>
        <v>96.479235757125579</v>
      </c>
      <c r="I15" s="4">
        <f t="shared" ca="1" si="11"/>
        <v>-0.15032441651017253</v>
      </c>
      <c r="J15" s="4">
        <f t="shared" ca="1" si="7"/>
        <v>-0.26271471389997592</v>
      </c>
      <c r="K15" s="25">
        <f t="shared" ca="1" si="0"/>
        <v>3.3344261602170633</v>
      </c>
      <c r="L15" s="1">
        <f t="shared" ca="1" si="1"/>
        <v>0.44025433513788836</v>
      </c>
      <c r="M15" s="1">
        <f t="shared" ca="1" si="8"/>
        <v>23.919293166392521</v>
      </c>
      <c r="N15" s="1">
        <f t="shared" ca="1" si="9"/>
        <v>-37.959483784520998</v>
      </c>
      <c r="O15" s="14">
        <f t="shared" ca="1" si="2"/>
        <v>4.5159180083439097</v>
      </c>
      <c r="Q15" s="23">
        <v>14</v>
      </c>
      <c r="R15" s="9">
        <v>80.436917654326137</v>
      </c>
      <c r="S15" s="1">
        <v>0</v>
      </c>
      <c r="T15" s="1">
        <v>0.15908582024010101</v>
      </c>
      <c r="U15" s="14">
        <v>0.15908582024010101</v>
      </c>
      <c r="W15" s="23">
        <f t="shared" si="10"/>
        <v>1.2425150303840637</v>
      </c>
      <c r="X15" s="14">
        <v>144</v>
      </c>
    </row>
    <row r="16" spans="1:38" s="1" customFormat="1" x14ac:dyDescent="0.2">
      <c r="A16"/>
      <c r="E16" s="23">
        <f t="shared" si="3"/>
        <v>0.73684210526315774</v>
      </c>
      <c r="F16" s="1">
        <f t="shared" si="4"/>
        <v>0.26315789473684265</v>
      </c>
      <c r="G16" s="1">
        <f t="shared" ca="1" si="5"/>
        <v>3.0961537305787146</v>
      </c>
      <c r="H16" s="1">
        <f t="shared" ca="1" si="6"/>
        <v>111.3236494263233</v>
      </c>
      <c r="I16" s="4">
        <f t="shared" ca="1" si="11"/>
        <v>1.1994503272981627</v>
      </c>
      <c r="J16" s="4">
        <f t="shared" ca="1" si="7"/>
        <v>1.0968524920896472</v>
      </c>
      <c r="K16" s="25">
        <f t="shared" ca="1" si="0"/>
        <v>13.041415460365954</v>
      </c>
      <c r="L16" s="1">
        <f t="shared" ca="1" si="1"/>
        <v>0.88482355579959238</v>
      </c>
      <c r="M16" s="1">
        <f t="shared" ca="1" si="8"/>
        <v>-49.4910680666773</v>
      </c>
      <c r="N16" s="1">
        <f t="shared" ca="1" si="9"/>
        <v>-87.530550733705411</v>
      </c>
      <c r="O16" s="14">
        <f t="shared" ca="1" si="2"/>
        <v>10.97123659628123</v>
      </c>
      <c r="Q16" s="23">
        <v>15</v>
      </c>
      <c r="R16" s="9">
        <v>101.7768218508761</v>
      </c>
      <c r="S16" s="1">
        <v>1.7768258508760226</v>
      </c>
      <c r="T16" s="1">
        <v>4.8693500424554657</v>
      </c>
      <c r="U16" s="14">
        <v>3.092524191579443</v>
      </c>
      <c r="W16" s="23">
        <f t="shared" si="10"/>
        <v>1.8419694807411562</v>
      </c>
      <c r="X16" s="14">
        <v>79</v>
      </c>
    </row>
    <row r="17" spans="1:24" s="1" customFormat="1" x14ac:dyDescent="0.2">
      <c r="A17"/>
      <c r="E17" s="23">
        <f t="shared" si="3"/>
        <v>0.78947368421052611</v>
      </c>
      <c r="F17" s="1">
        <f t="shared" si="4"/>
        <v>0.21052631578947423</v>
      </c>
      <c r="G17" s="1">
        <f t="shared" ca="1" si="5"/>
        <v>-0.79177898525686619</v>
      </c>
      <c r="H17" s="1">
        <f t="shared" ca="1" si="6"/>
        <v>107.46498133884702</v>
      </c>
      <c r="I17" s="4">
        <f t="shared" ca="1" si="11"/>
        <v>0.92219516772104371</v>
      </c>
      <c r="J17" s="4">
        <f t="shared" ca="1" si="7"/>
        <v>0.83042887417281885</v>
      </c>
      <c r="K17" s="25">
        <f t="shared" ca="1" si="0"/>
        <v>9.2963154693511996</v>
      </c>
      <c r="L17" s="1">
        <f t="shared" ca="1" si="1"/>
        <v>0.82178660839471895</v>
      </c>
      <c r="M17" s="1">
        <f t="shared" ca="1" si="8"/>
        <v>6.7742643765226038</v>
      </c>
      <c r="N17" s="1">
        <f ca="1">N16*EXP($C$4*$C$7)+M17</f>
        <v>-80.940755310545768</v>
      </c>
      <c r="O17" s="14">
        <f t="shared" ca="1" si="2"/>
        <v>7.3725272251070919</v>
      </c>
      <c r="Q17" s="23">
        <v>16</v>
      </c>
      <c r="R17" s="9">
        <v>103.6112069765953</v>
      </c>
      <c r="S17" s="1">
        <v>3.6112109765952169</v>
      </c>
      <c r="T17" s="1">
        <v>5.4317872893380752</v>
      </c>
      <c r="U17" s="14">
        <v>1.8205763127428582</v>
      </c>
      <c r="W17" s="23">
        <f t="shared" si="10"/>
        <v>2.4414239310982486</v>
      </c>
      <c r="X17" s="14">
        <v>44</v>
      </c>
    </row>
    <row r="18" spans="1:24" s="1" customFormat="1" x14ac:dyDescent="0.2">
      <c r="A18"/>
      <c r="E18" s="23">
        <f t="shared" si="3"/>
        <v>0.84210526315789447</v>
      </c>
      <c r="F18" s="1">
        <f t="shared" si="4"/>
        <v>0.15789473684210581</v>
      </c>
      <c r="G18" s="1">
        <f t="shared" ca="1" si="5"/>
        <v>0.53777711058000932</v>
      </c>
      <c r="H18" s="1">
        <f t="shared" ca="1" si="6"/>
        <v>110.26566354278877</v>
      </c>
      <c r="I18" s="4">
        <f t="shared" ca="1" si="11"/>
        <v>1.3488543690743184</v>
      </c>
      <c r="J18" s="4">
        <f t="shared" ca="1" si="7"/>
        <v>1.2693824276504155</v>
      </c>
      <c r="K18" s="25">
        <f t="shared" ca="1" si="0"/>
        <v>11.266504981633247</v>
      </c>
      <c r="L18" s="1">
        <f t="shared" ca="1" si="1"/>
        <v>0.91130812634341163</v>
      </c>
      <c r="M18" s="1">
        <f t="shared" ca="1" si="8"/>
        <v>-9.8711495779702734</v>
      </c>
      <c r="N18" s="1">
        <f ca="1">N17*EXP($C$4*$C$7)+M18</f>
        <v>-90.982485974678397</v>
      </c>
      <c r="O18" s="14">
        <f t="shared" ca="1" si="2"/>
        <v>9.5035092685134686</v>
      </c>
      <c r="Q18" s="23">
        <v>17</v>
      </c>
      <c r="R18" s="9">
        <v>87.333239274817799</v>
      </c>
      <c r="S18" s="1">
        <v>0</v>
      </c>
      <c r="T18" s="1">
        <v>0.85575648099804624</v>
      </c>
      <c r="U18" s="14">
        <v>0.85575648099804624</v>
      </c>
      <c r="W18" s="23">
        <f t="shared" si="10"/>
        <v>3.0408783814553413</v>
      </c>
      <c r="X18" s="14">
        <v>26</v>
      </c>
    </row>
    <row r="19" spans="1:24" s="1" customFormat="1" x14ac:dyDescent="0.2">
      <c r="A19"/>
      <c r="E19" s="23">
        <f t="shared" si="3"/>
        <v>0.89473684210526283</v>
      </c>
      <c r="F19" s="1">
        <f t="shared" si="4"/>
        <v>0.10526315789473739</v>
      </c>
      <c r="G19" s="1">
        <f t="shared" ca="1" si="5"/>
        <v>-0.35008133496182081</v>
      </c>
      <c r="H19" s="1">
        <f t="shared" ca="1" si="6"/>
        <v>108.62291354066215</v>
      </c>
      <c r="I19" s="4">
        <f t="shared" ca="1" si="11"/>
        <v>1.3720133006334128</v>
      </c>
      <c r="J19" s="4">
        <f t="shared" ca="1" si="7"/>
        <v>1.3071247321811075</v>
      </c>
      <c r="K19" s="25">
        <f t="shared" ca="1" si="0"/>
        <v>9.325268679105065</v>
      </c>
      <c r="L19" s="1">
        <f t="shared" ca="1" si="1"/>
        <v>0.9149703513488785</v>
      </c>
      <c r="M19" s="1">
        <f t="shared" ca="1" si="8"/>
        <v>-0.39780155013527863</v>
      </c>
      <c r="N19" s="1">
        <f t="shared" ca="1" si="9"/>
        <v>-91.572031365351947</v>
      </c>
      <c r="O19" s="14">
        <f t="shared" ca="1" si="2"/>
        <v>7.8147140014865499</v>
      </c>
      <c r="Q19" s="23">
        <v>18</v>
      </c>
      <c r="R19" s="9">
        <v>100.38022434228925</v>
      </c>
      <c r="S19" s="1">
        <v>0.38022834228917191</v>
      </c>
      <c r="T19" s="1">
        <v>-1.862709297893133</v>
      </c>
      <c r="U19" s="14">
        <v>-2.2429376401823049</v>
      </c>
      <c r="W19" s="23">
        <f t="shared" si="10"/>
        <v>3.6403328318124339</v>
      </c>
      <c r="X19" s="14">
        <v>23</v>
      </c>
    </row>
    <row r="20" spans="1:24" s="1" customFormat="1" x14ac:dyDescent="0.2">
      <c r="A20"/>
      <c r="E20" s="23">
        <f t="shared" si="3"/>
        <v>0.94736842105263119</v>
      </c>
      <c r="F20" s="1">
        <f t="shared" si="4"/>
        <v>5.2631578947368973E-2</v>
      </c>
      <c r="G20" s="1">
        <f t="shared" ca="1" si="5"/>
        <v>-0.72221970608648489</v>
      </c>
      <c r="H20" s="1">
        <f t="shared" ca="1" si="6"/>
        <v>105.19305639668379</v>
      </c>
      <c r="I20" s="4">
        <f t="shared" ca="1" si="11"/>
        <v>1.1722169646514473</v>
      </c>
      <c r="J20" s="4">
        <f t="shared" ca="1" si="7"/>
        <v>1.1263338178773348</v>
      </c>
      <c r="K20" s="25">
        <f t="shared" ca="1" si="0"/>
        <v>5.6956847492414369</v>
      </c>
      <c r="L20" s="1">
        <f t="shared" ca="1" si="1"/>
        <v>0.87944502048950868</v>
      </c>
      <c r="M20" s="1">
        <f t="shared" ca="1" si="8"/>
        <v>3.7370181326005403</v>
      </c>
      <c r="N20" s="1">
        <f t="shared" ca="1" si="9"/>
        <v>-88.027999528869643</v>
      </c>
      <c r="O20" s="14">
        <f t="shared" ca="1" si="2"/>
        <v>4.4835101092659784</v>
      </c>
      <c r="Q20" s="23">
        <v>19</v>
      </c>
      <c r="R20" s="9">
        <v>96.631493782476539</v>
      </c>
      <c r="S20" s="1">
        <v>0</v>
      </c>
      <c r="T20" s="1">
        <v>-1.5435868250238052</v>
      </c>
      <c r="U20" s="14">
        <v>-1.5435868250238052</v>
      </c>
      <c r="W20" s="23">
        <f t="shared" si="10"/>
        <v>4.2397872821695266</v>
      </c>
      <c r="X20" s="14">
        <v>4</v>
      </c>
    </row>
    <row r="21" spans="1:24" s="1" customFormat="1" ht="17" thickBot="1" x14ac:dyDescent="0.25">
      <c r="A21"/>
      <c r="E21" s="26">
        <f>C6</f>
        <v>1</v>
      </c>
      <c r="F21" s="27">
        <f>C8</f>
        <v>9.9999999999999995E-7</v>
      </c>
      <c r="G21" s="28">
        <f t="shared" ca="1" si="5"/>
        <v>-0.67249110738123585</v>
      </c>
      <c r="H21" s="28">
        <f t="shared" ca="1" si="6"/>
        <v>102.10420584245914</v>
      </c>
      <c r="I21" s="29">
        <f t="shared" ca="1" si="11"/>
        <v>104.1189584902683</v>
      </c>
      <c r="J21" s="29">
        <f t="shared" ca="1" si="7"/>
        <v>104.11875849026831</v>
      </c>
      <c r="K21" s="30">
        <f t="shared" ca="1" si="0"/>
        <v>2.1042098424590563</v>
      </c>
      <c r="L21" s="31">
        <f t="shared" ca="1" si="1"/>
        <v>1</v>
      </c>
      <c r="M21" s="28">
        <f t="shared" ca="1" si="8"/>
        <v>-12.309170443272651</v>
      </c>
      <c r="N21" s="28">
        <f t="shared" ca="1" si="9"/>
        <v>-100.52268728928027</v>
      </c>
      <c r="O21" s="17">
        <f t="shared" ca="1" si="2"/>
        <v>1.5815185531788671</v>
      </c>
      <c r="Q21" s="23">
        <v>20</v>
      </c>
      <c r="R21" s="9">
        <v>110.44592077055715</v>
      </c>
      <c r="S21" s="1">
        <v>10.44592477055707</v>
      </c>
      <c r="T21" s="1">
        <v>8.7455578199713528</v>
      </c>
      <c r="U21" s="14">
        <v>-1.7003669505857175</v>
      </c>
      <c r="W21" s="26">
        <f>MAX(U2:U1001)</f>
        <v>4.8392417325266166</v>
      </c>
      <c r="X21" s="17">
        <v>2</v>
      </c>
    </row>
    <row r="22" spans="1:24" x14ac:dyDescent="0.2">
      <c r="Q22" s="23">
        <v>21</v>
      </c>
      <c r="R22" s="9">
        <v>75.496352825127431</v>
      </c>
      <c r="S22" s="1">
        <v>0</v>
      </c>
      <c r="T22" s="1">
        <v>-1.6320230216204192</v>
      </c>
      <c r="U22" s="14">
        <v>-1.6320230216204192</v>
      </c>
    </row>
    <row r="23" spans="1:24" x14ac:dyDescent="0.2">
      <c r="Q23" s="23">
        <v>22</v>
      </c>
      <c r="R23" s="9">
        <v>78.805326606084535</v>
      </c>
      <c r="S23" s="1">
        <v>0</v>
      </c>
      <c r="T23" s="1">
        <v>-8.2164624244899689E-2</v>
      </c>
      <c r="U23" s="14">
        <v>-8.2164624244899689E-2</v>
      </c>
    </row>
    <row r="24" spans="1:24" x14ac:dyDescent="0.2">
      <c r="Q24" s="23">
        <v>23</v>
      </c>
      <c r="R24" s="9">
        <v>96.898851654257513</v>
      </c>
      <c r="S24" s="1">
        <v>0</v>
      </c>
      <c r="T24" s="1">
        <v>1.0710412813762922</v>
      </c>
      <c r="U24" s="14">
        <v>1.0710412813762922</v>
      </c>
    </row>
    <row r="25" spans="1:24" x14ac:dyDescent="0.2">
      <c r="Q25" s="23">
        <v>24</v>
      </c>
      <c r="R25" s="9">
        <v>147.45132045155052</v>
      </c>
      <c r="S25" s="1">
        <v>47.451324451550434</v>
      </c>
      <c r="T25" s="1">
        <v>47.550839660785186</v>
      </c>
      <c r="U25" s="14">
        <v>9.9515209234752433E-2</v>
      </c>
    </row>
    <row r="26" spans="1:24" x14ac:dyDescent="0.2">
      <c r="Q26" s="23">
        <v>25</v>
      </c>
      <c r="R26" s="9">
        <v>107.20919571437233</v>
      </c>
      <c r="S26" s="1">
        <v>7.2091997143722466</v>
      </c>
      <c r="T26" s="1">
        <v>7.0254607532333324</v>
      </c>
      <c r="U26" s="14">
        <v>-0.18373896113891419</v>
      </c>
    </row>
    <row r="27" spans="1:24" x14ac:dyDescent="0.2">
      <c r="Q27" s="23">
        <v>26</v>
      </c>
      <c r="R27" s="9">
        <v>109.82741847198892</v>
      </c>
      <c r="S27" s="1">
        <v>9.8274224719888394</v>
      </c>
      <c r="T27" s="1">
        <v>8.0585070551818916</v>
      </c>
      <c r="U27" s="14">
        <v>-1.7689154168069479</v>
      </c>
    </row>
    <row r="28" spans="1:24" x14ac:dyDescent="0.2">
      <c r="Q28" s="23">
        <v>27</v>
      </c>
      <c r="R28" s="9">
        <v>120.58403747169379</v>
      </c>
      <c r="S28" s="1">
        <v>20.584041471693709</v>
      </c>
      <c r="T28" s="1">
        <v>20.855998907325613</v>
      </c>
      <c r="U28" s="14">
        <v>0.27195743563190433</v>
      </c>
    </row>
    <row r="29" spans="1:24" x14ac:dyDescent="0.2">
      <c r="Q29" s="23">
        <v>28</v>
      </c>
      <c r="R29" s="9">
        <v>98.580050506933972</v>
      </c>
      <c r="S29" s="1">
        <v>0</v>
      </c>
      <c r="T29" s="1">
        <v>1.8502898455147658</v>
      </c>
      <c r="U29" s="14">
        <v>1.8502898455147658</v>
      </c>
    </row>
    <row r="30" spans="1:24" x14ac:dyDescent="0.2">
      <c r="Q30" s="23">
        <v>29</v>
      </c>
      <c r="R30" s="9">
        <v>102.28976480300038</v>
      </c>
      <c r="S30" s="1">
        <v>2.2897688030002996</v>
      </c>
      <c r="T30" s="1">
        <v>3.3421530032807993</v>
      </c>
      <c r="U30" s="14">
        <v>1.0523842002804997</v>
      </c>
    </row>
    <row r="31" spans="1:24" x14ac:dyDescent="0.2">
      <c r="Q31" s="23">
        <v>30</v>
      </c>
      <c r="R31" s="9">
        <v>75.425043298324894</v>
      </c>
      <c r="S31" s="1">
        <v>0</v>
      </c>
      <c r="T31" s="1">
        <v>-1.1185389836988151</v>
      </c>
      <c r="U31" s="14">
        <v>-1.1185389836988151</v>
      </c>
    </row>
    <row r="32" spans="1:24" x14ac:dyDescent="0.2">
      <c r="Q32" s="23">
        <v>31</v>
      </c>
      <c r="R32" s="9">
        <v>121.98887676756787</v>
      </c>
      <c r="S32" s="1">
        <v>21.988880767567792</v>
      </c>
      <c r="T32" s="1">
        <v>22.264215978399648</v>
      </c>
      <c r="U32" s="14">
        <v>0.27533521083185519</v>
      </c>
    </row>
    <row r="33" spans="17:21" x14ac:dyDescent="0.2">
      <c r="Q33" s="23">
        <v>32</v>
      </c>
      <c r="R33" s="9">
        <v>91.748677523986984</v>
      </c>
      <c r="S33" s="1">
        <v>0</v>
      </c>
      <c r="T33" s="1">
        <v>7.5380272512893143E-2</v>
      </c>
      <c r="U33" s="14">
        <v>7.5380272512893143E-2</v>
      </c>
    </row>
    <row r="34" spans="17:21" x14ac:dyDescent="0.2">
      <c r="Q34" s="23">
        <v>33</v>
      </c>
      <c r="R34" s="9">
        <v>148.43706611425722</v>
      </c>
      <c r="S34" s="1">
        <v>48.437070114257139</v>
      </c>
      <c r="T34" s="1">
        <v>47.353783156520763</v>
      </c>
      <c r="U34" s="14">
        <v>-1.0832869577363766</v>
      </c>
    </row>
    <row r="35" spans="17:21" x14ac:dyDescent="0.2">
      <c r="Q35" s="23">
        <v>34</v>
      </c>
      <c r="R35" s="9">
        <v>97.682322433631285</v>
      </c>
      <c r="S35" s="1">
        <v>0</v>
      </c>
      <c r="T35" s="1">
        <v>1.488545023663832</v>
      </c>
      <c r="U35" s="14">
        <v>1.488545023663832</v>
      </c>
    </row>
    <row r="36" spans="17:21" x14ac:dyDescent="0.2">
      <c r="Q36" s="23">
        <v>35</v>
      </c>
      <c r="R36" s="9">
        <v>106.28560089007787</v>
      </c>
      <c r="S36" s="1">
        <v>6.2856048900777921</v>
      </c>
      <c r="T36" s="1">
        <v>9.6672318851471886</v>
      </c>
      <c r="U36" s="14">
        <v>3.3816269950693965</v>
      </c>
    </row>
    <row r="37" spans="17:21" x14ac:dyDescent="0.2">
      <c r="Q37" s="23">
        <v>36</v>
      </c>
      <c r="R37" s="9">
        <v>70.741744200476361</v>
      </c>
      <c r="S37" s="1">
        <v>0</v>
      </c>
      <c r="T37" s="1">
        <v>-0.3178158862717948</v>
      </c>
      <c r="U37" s="14">
        <v>-0.3178158862717948</v>
      </c>
    </row>
    <row r="38" spans="17:21" x14ac:dyDescent="0.2">
      <c r="Q38" s="23">
        <v>37</v>
      </c>
      <c r="R38" s="9">
        <v>87.59389129213649</v>
      </c>
      <c r="S38" s="1">
        <v>0</v>
      </c>
      <c r="T38" s="1">
        <v>-1.5546422164180493</v>
      </c>
      <c r="U38" s="14">
        <v>-1.5546422164180493</v>
      </c>
    </row>
    <row r="39" spans="17:21" x14ac:dyDescent="0.2">
      <c r="Q39" s="23">
        <v>38</v>
      </c>
      <c r="R39" s="9">
        <v>88.984570669499433</v>
      </c>
      <c r="S39" s="1">
        <v>0</v>
      </c>
      <c r="T39" s="1">
        <v>-3.616097416148329</v>
      </c>
      <c r="U39" s="14">
        <v>-3.616097416148329</v>
      </c>
    </row>
    <row r="40" spans="17:21" x14ac:dyDescent="0.2">
      <c r="Q40" s="23">
        <v>39</v>
      </c>
      <c r="R40" s="9">
        <v>97.902607986810168</v>
      </c>
      <c r="S40" s="1">
        <v>0</v>
      </c>
      <c r="T40" s="1">
        <v>1.7221378299524481</v>
      </c>
      <c r="U40" s="14">
        <v>1.7221378299524481</v>
      </c>
    </row>
    <row r="41" spans="17:21" x14ac:dyDescent="0.2">
      <c r="Q41" s="23">
        <v>40</v>
      </c>
      <c r="R41" s="9">
        <v>79.163868145330724</v>
      </c>
      <c r="S41" s="1">
        <v>0</v>
      </c>
      <c r="T41" s="1">
        <v>-0.87178266902243839</v>
      </c>
      <c r="U41" s="14">
        <v>-0.87178266902243839</v>
      </c>
    </row>
    <row r="42" spans="17:21" x14ac:dyDescent="0.2">
      <c r="Q42" s="23">
        <v>41</v>
      </c>
      <c r="R42" s="9">
        <v>98.640427645725012</v>
      </c>
      <c r="S42" s="1">
        <v>0</v>
      </c>
      <c r="T42" s="1">
        <v>2.0012896600693963</v>
      </c>
      <c r="U42" s="14">
        <v>2.0012896600693963</v>
      </c>
    </row>
    <row r="43" spans="17:21" x14ac:dyDescent="0.2">
      <c r="Q43" s="23">
        <v>42</v>
      </c>
      <c r="R43" s="9">
        <v>109.43364075628774</v>
      </c>
      <c r="S43" s="1">
        <v>9.4336447562876629</v>
      </c>
      <c r="T43" s="1">
        <v>10.607781959344138</v>
      </c>
      <c r="U43" s="14">
        <v>1.1741372030564747</v>
      </c>
    </row>
    <row r="44" spans="17:21" x14ac:dyDescent="0.2">
      <c r="Q44" s="23">
        <v>43</v>
      </c>
      <c r="R44" s="9">
        <v>75.2424464297562</v>
      </c>
      <c r="S44" s="1">
        <v>0</v>
      </c>
      <c r="T44" s="1">
        <v>0.78699558383962254</v>
      </c>
      <c r="U44" s="14">
        <v>0.78699558383962254</v>
      </c>
    </row>
    <row r="45" spans="17:21" x14ac:dyDescent="0.2">
      <c r="Q45" s="23">
        <v>44</v>
      </c>
      <c r="R45" s="9">
        <v>91.765786839992032</v>
      </c>
      <c r="S45" s="1">
        <v>0</v>
      </c>
      <c r="T45" s="1">
        <v>-0.77237130146056021</v>
      </c>
      <c r="U45" s="14">
        <v>-0.77237130146056021</v>
      </c>
    </row>
    <row r="46" spans="17:21" x14ac:dyDescent="0.2">
      <c r="Q46" s="23">
        <v>45</v>
      </c>
      <c r="R46" s="9">
        <v>92.48749845747416</v>
      </c>
      <c r="S46" s="1">
        <v>0</v>
      </c>
      <c r="T46" s="1">
        <v>1.7725672899881335</v>
      </c>
      <c r="U46" s="14">
        <v>1.7725672899881335</v>
      </c>
    </row>
    <row r="47" spans="17:21" x14ac:dyDescent="0.2">
      <c r="Q47" s="23">
        <v>46</v>
      </c>
      <c r="R47" s="9">
        <v>138.01480430769553</v>
      </c>
      <c r="S47" s="1">
        <v>38.014808307695446</v>
      </c>
      <c r="T47" s="1">
        <v>37.381724359361925</v>
      </c>
      <c r="U47" s="14">
        <v>-0.63308394833352111</v>
      </c>
    </row>
    <row r="48" spans="17:21" x14ac:dyDescent="0.2">
      <c r="Q48" s="23">
        <v>47</v>
      </c>
      <c r="R48" s="9">
        <v>93.511346951388461</v>
      </c>
      <c r="S48" s="1">
        <v>0</v>
      </c>
      <c r="T48" s="1">
        <v>-2.2559154173582598</v>
      </c>
      <c r="U48" s="14">
        <v>-2.2559154173582598</v>
      </c>
    </row>
    <row r="49" spans="17:21" x14ac:dyDescent="0.2">
      <c r="Q49" s="23">
        <v>48</v>
      </c>
      <c r="R49" s="9">
        <v>97.069295619204155</v>
      </c>
      <c r="S49" s="1">
        <v>0</v>
      </c>
      <c r="T49" s="1">
        <v>3.4518094326895259</v>
      </c>
      <c r="U49" s="14">
        <v>3.4518094326895259</v>
      </c>
    </row>
    <row r="50" spans="17:21" x14ac:dyDescent="0.2">
      <c r="Q50" s="23">
        <v>49</v>
      </c>
      <c r="R50" s="9">
        <v>61.576640542138918</v>
      </c>
      <c r="S50" s="1">
        <v>0</v>
      </c>
      <c r="T50" s="1">
        <v>-0.34336977266067403</v>
      </c>
      <c r="U50" s="14">
        <v>-0.34336977266067403</v>
      </c>
    </row>
    <row r="51" spans="17:21" x14ac:dyDescent="0.2">
      <c r="Q51" s="23">
        <v>50</v>
      </c>
      <c r="R51" s="9">
        <v>77.239829796349468</v>
      </c>
      <c r="S51" s="1">
        <v>0</v>
      </c>
      <c r="T51" s="1">
        <v>-2.634802917646534</v>
      </c>
      <c r="U51" s="14">
        <v>-2.634802917646534</v>
      </c>
    </row>
    <row r="52" spans="17:21" x14ac:dyDescent="0.2">
      <c r="Q52" s="23">
        <v>51</v>
      </c>
      <c r="R52" s="9">
        <v>84.915735877546979</v>
      </c>
      <c r="S52" s="1">
        <v>0</v>
      </c>
      <c r="T52" s="1">
        <v>0.39112065267952822</v>
      </c>
      <c r="U52" s="14">
        <v>0.39112065267952822</v>
      </c>
    </row>
    <row r="53" spans="17:21" x14ac:dyDescent="0.2">
      <c r="Q53" s="23">
        <v>52</v>
      </c>
      <c r="R53" s="9">
        <v>101.97097764173968</v>
      </c>
      <c r="S53" s="1">
        <v>1.9709816417395984</v>
      </c>
      <c r="T53" s="1">
        <v>3.7602347015434958</v>
      </c>
      <c r="U53" s="14">
        <v>1.7892530598038974</v>
      </c>
    </row>
    <row r="54" spans="17:21" x14ac:dyDescent="0.2">
      <c r="Q54" s="23">
        <v>53</v>
      </c>
      <c r="R54" s="9">
        <v>108.81524063988437</v>
      </c>
      <c r="S54" s="1">
        <v>8.8152446398842841</v>
      </c>
      <c r="T54" s="1">
        <v>9.0723762328233875</v>
      </c>
      <c r="U54" s="14">
        <v>0.25713159293910337</v>
      </c>
    </row>
    <row r="55" spans="17:21" x14ac:dyDescent="0.2">
      <c r="Q55" s="23">
        <v>54</v>
      </c>
      <c r="R55" s="9">
        <v>131.46173101979844</v>
      </c>
      <c r="S55" s="1">
        <v>31.461735019798354</v>
      </c>
      <c r="T55" s="1">
        <v>31.873540437713103</v>
      </c>
      <c r="U55" s="14">
        <v>0.41180541791474923</v>
      </c>
    </row>
    <row r="56" spans="17:21" x14ac:dyDescent="0.2">
      <c r="Q56" s="23">
        <v>55</v>
      </c>
      <c r="R56" s="9">
        <v>133.74964603746531</v>
      </c>
      <c r="S56" s="1">
        <v>33.74965003746523</v>
      </c>
      <c r="T56" s="1">
        <v>34.033435133521422</v>
      </c>
      <c r="U56" s="14">
        <v>0.28378509605619229</v>
      </c>
    </row>
    <row r="57" spans="17:21" x14ac:dyDescent="0.2">
      <c r="Q57" s="23">
        <v>56</v>
      </c>
      <c r="R57" s="9">
        <v>94.502245569506044</v>
      </c>
      <c r="S57" s="1">
        <v>0</v>
      </c>
      <c r="T57" s="1">
        <v>1.5652140640120713</v>
      </c>
      <c r="U57" s="14">
        <v>1.5652140640120713</v>
      </c>
    </row>
    <row r="58" spans="17:21" x14ac:dyDescent="0.2">
      <c r="Q58" s="23">
        <v>57</v>
      </c>
      <c r="R58" s="9">
        <v>121.63463791890452</v>
      </c>
      <c r="S58" s="1">
        <v>21.634641918904435</v>
      </c>
      <c r="T58" s="1">
        <v>22.746270426896913</v>
      </c>
      <c r="U58" s="14">
        <v>1.1116285079924779</v>
      </c>
    </row>
    <row r="59" spans="17:21" x14ac:dyDescent="0.2">
      <c r="Q59" s="23">
        <v>58</v>
      </c>
      <c r="R59" s="9">
        <v>124.2161322999865</v>
      </c>
      <c r="S59" s="1">
        <v>24.216136299986417</v>
      </c>
      <c r="T59" s="1">
        <v>23.870857474364286</v>
      </c>
      <c r="U59" s="14">
        <v>-0.34527882562213108</v>
      </c>
    </row>
    <row r="60" spans="17:21" x14ac:dyDescent="0.2">
      <c r="Q60" s="23">
        <v>59</v>
      </c>
      <c r="R60" s="9">
        <v>105.63371991707427</v>
      </c>
      <c r="S60" s="1">
        <v>5.6337239170741924</v>
      </c>
      <c r="T60" s="1">
        <v>3.9791337457114651</v>
      </c>
      <c r="U60" s="14">
        <v>-1.6545901713627273</v>
      </c>
    </row>
    <row r="61" spans="17:21" x14ac:dyDescent="0.2">
      <c r="Q61" s="23">
        <v>60</v>
      </c>
      <c r="R61" s="9">
        <v>120.52696858943581</v>
      </c>
      <c r="S61" s="1">
        <v>20.526972589435729</v>
      </c>
      <c r="T61" s="1">
        <v>22.070370796879004</v>
      </c>
      <c r="U61" s="14">
        <v>1.5433982074432748</v>
      </c>
    </row>
    <row r="62" spans="17:21" x14ac:dyDescent="0.2">
      <c r="Q62" s="23">
        <v>61</v>
      </c>
      <c r="R62" s="9">
        <v>121.43196581051427</v>
      </c>
      <c r="S62" s="1">
        <v>21.43196981051419</v>
      </c>
      <c r="T62" s="1">
        <v>17.954838795215935</v>
      </c>
      <c r="U62" s="14">
        <v>-3.4771310152982551</v>
      </c>
    </row>
    <row r="63" spans="17:21" x14ac:dyDescent="0.2">
      <c r="Q63" s="23">
        <v>62</v>
      </c>
      <c r="R63" s="9">
        <v>128.31797863296592</v>
      </c>
      <c r="S63" s="1">
        <v>28.317982632965837</v>
      </c>
      <c r="T63" s="1">
        <v>27.468577998725053</v>
      </c>
      <c r="U63" s="14">
        <v>-0.84940463424078416</v>
      </c>
    </row>
    <row r="64" spans="17:21" x14ac:dyDescent="0.2">
      <c r="Q64" s="23">
        <v>63</v>
      </c>
      <c r="R64" s="9">
        <v>81.474413021711356</v>
      </c>
      <c r="S64" s="1">
        <v>0</v>
      </c>
      <c r="T64" s="1">
        <v>9.6890136806715266E-2</v>
      </c>
      <c r="U64" s="14">
        <v>9.6890136806715266E-2</v>
      </c>
    </row>
    <row r="65" spans="17:21" x14ac:dyDescent="0.2">
      <c r="Q65" s="23">
        <v>64</v>
      </c>
      <c r="R65" s="9">
        <v>67.897781069105136</v>
      </c>
      <c r="S65" s="1">
        <v>0</v>
      </c>
      <c r="T65" s="1">
        <v>1.2805709512598102</v>
      </c>
      <c r="U65" s="14">
        <v>1.2805709512598102</v>
      </c>
    </row>
    <row r="66" spans="17:21" x14ac:dyDescent="0.2">
      <c r="Q66" s="23">
        <v>65</v>
      </c>
      <c r="R66" s="9">
        <v>107.40000105063132</v>
      </c>
      <c r="S66" s="1">
        <v>7.4000050506312363</v>
      </c>
      <c r="T66" s="1">
        <v>5.9812180474696106</v>
      </c>
      <c r="U66" s="14">
        <v>-1.4187870031616256</v>
      </c>
    </row>
    <row r="67" spans="17:21" x14ac:dyDescent="0.2">
      <c r="Q67" s="23">
        <v>66</v>
      </c>
      <c r="R67" s="9">
        <v>152.45220095726162</v>
      </c>
      <c r="S67" s="1">
        <v>52.452204957261543</v>
      </c>
      <c r="T67" s="1">
        <v>51.01967102852673</v>
      </c>
      <c r="U67" s="14">
        <v>-1.4325339287348129</v>
      </c>
    </row>
    <row r="68" spans="17:21" x14ac:dyDescent="0.2">
      <c r="Q68" s="23">
        <v>67</v>
      </c>
      <c r="R68" s="9">
        <v>115.98730525885453</v>
      </c>
      <c r="S68" s="1">
        <v>15.987309258854452</v>
      </c>
      <c r="T68" s="1">
        <v>14.517841250979103</v>
      </c>
      <c r="U68" s="14">
        <v>-1.4694680078753493</v>
      </c>
    </row>
    <row r="69" spans="17:21" x14ac:dyDescent="0.2">
      <c r="Q69" s="23">
        <v>68</v>
      </c>
      <c r="R69" s="9">
        <v>76.028457272780557</v>
      </c>
      <c r="S69" s="1">
        <v>0</v>
      </c>
      <c r="T69" s="1">
        <v>-0.87544046737489667</v>
      </c>
      <c r="U69" s="14">
        <v>-0.87544046737489667</v>
      </c>
    </row>
    <row r="70" spans="17:21" x14ac:dyDescent="0.2">
      <c r="Q70" s="23">
        <v>69</v>
      </c>
      <c r="R70" s="9">
        <v>97.512010511284458</v>
      </c>
      <c r="S70" s="1">
        <v>0</v>
      </c>
      <c r="T70" s="1">
        <v>-1.7799814543011934</v>
      </c>
      <c r="U70" s="14">
        <v>-1.7799814543011934</v>
      </c>
    </row>
    <row r="71" spans="17:21" x14ac:dyDescent="0.2">
      <c r="Q71" s="23">
        <v>70</v>
      </c>
      <c r="R71" s="9">
        <v>109.93976680272833</v>
      </c>
      <c r="S71" s="1">
        <v>9.9397708027282476</v>
      </c>
      <c r="T71" s="1">
        <v>10.237513072984598</v>
      </c>
      <c r="U71" s="14">
        <v>0.29774227025635014</v>
      </c>
    </row>
    <row r="72" spans="17:21" x14ac:dyDescent="0.2">
      <c r="Q72" s="23">
        <v>71</v>
      </c>
      <c r="R72" s="9">
        <v>106.00546186759912</v>
      </c>
      <c r="S72" s="1">
        <v>6.0054658675990424</v>
      </c>
      <c r="T72" s="1">
        <v>2.5931867654649352</v>
      </c>
      <c r="U72" s="14">
        <v>-3.4122791021341072</v>
      </c>
    </row>
    <row r="73" spans="17:21" x14ac:dyDescent="0.2">
      <c r="Q73" s="23">
        <v>72</v>
      </c>
      <c r="R73" s="9">
        <v>144.06644478768948</v>
      </c>
      <c r="S73" s="1">
        <v>44.066448787689396</v>
      </c>
      <c r="T73" s="1">
        <v>41.088646828910967</v>
      </c>
      <c r="U73" s="14">
        <v>-2.9778019587784286</v>
      </c>
    </row>
    <row r="74" spans="17:21" x14ac:dyDescent="0.2">
      <c r="Q74" s="23">
        <v>73</v>
      </c>
      <c r="R74" s="9">
        <v>86.118131937627808</v>
      </c>
      <c r="S74" s="1">
        <v>0</v>
      </c>
      <c r="T74" s="1">
        <v>2.1412495846838762</v>
      </c>
      <c r="U74" s="14">
        <v>2.1412495846838762</v>
      </c>
    </row>
    <row r="75" spans="17:21" x14ac:dyDescent="0.2">
      <c r="Q75" s="23">
        <v>74</v>
      </c>
      <c r="R75" s="9">
        <v>94.579975424881567</v>
      </c>
      <c r="S75" s="1">
        <v>0</v>
      </c>
      <c r="T75" s="1">
        <v>2.2574382962006041</v>
      </c>
      <c r="U75" s="14">
        <v>2.2574382962006041</v>
      </c>
    </row>
    <row r="76" spans="17:21" x14ac:dyDescent="0.2">
      <c r="Q76" s="23">
        <v>75</v>
      </c>
      <c r="R76" s="9">
        <v>122.58950035304113</v>
      </c>
      <c r="S76" s="1">
        <v>22.58950435304105</v>
      </c>
      <c r="T76" s="1">
        <v>19.790940563039953</v>
      </c>
      <c r="U76" s="14">
        <v>-2.7985637900010971</v>
      </c>
    </row>
    <row r="77" spans="17:21" x14ac:dyDescent="0.2">
      <c r="Q77" s="23">
        <v>76</v>
      </c>
      <c r="R77" s="9">
        <v>93.670282810023068</v>
      </c>
      <c r="S77" s="1">
        <v>0</v>
      </c>
      <c r="T77" s="1">
        <v>0.92426552362213954</v>
      </c>
      <c r="U77" s="14">
        <v>0.92426552362213954</v>
      </c>
    </row>
    <row r="78" spans="17:21" x14ac:dyDescent="0.2">
      <c r="Q78" s="23">
        <v>77</v>
      </c>
      <c r="R78" s="9">
        <v>90.244496729458547</v>
      </c>
      <c r="S78" s="1">
        <v>0</v>
      </c>
      <c r="T78" s="1">
        <v>1.8190278143033742</v>
      </c>
      <c r="U78" s="14">
        <v>1.8190278143033742</v>
      </c>
    </row>
    <row r="79" spans="17:21" x14ac:dyDescent="0.2">
      <c r="Q79" s="23">
        <v>78</v>
      </c>
      <c r="R79" s="9">
        <v>84.199057889859148</v>
      </c>
      <c r="S79" s="1">
        <v>0</v>
      </c>
      <c r="T79" s="1">
        <v>1.7288016883569046</v>
      </c>
      <c r="U79" s="14">
        <v>1.7288016883569046</v>
      </c>
    </row>
    <row r="80" spans="17:21" x14ac:dyDescent="0.2">
      <c r="Q80" s="23">
        <v>79</v>
      </c>
      <c r="R80" s="9">
        <v>85.499699981562898</v>
      </c>
      <c r="S80" s="1">
        <v>0</v>
      </c>
      <c r="T80" s="1">
        <v>-1.0717407347692642</v>
      </c>
      <c r="U80" s="14">
        <v>-1.0717407347692642</v>
      </c>
    </row>
    <row r="81" spans="17:21" x14ac:dyDescent="0.2">
      <c r="Q81" s="23">
        <v>80</v>
      </c>
      <c r="R81" s="9">
        <v>104.74411708764347</v>
      </c>
      <c r="S81" s="1">
        <v>4.7441210876433928</v>
      </c>
      <c r="T81" s="1">
        <v>5.2465334487815767</v>
      </c>
      <c r="U81" s="14">
        <v>0.50241236113818388</v>
      </c>
    </row>
    <row r="82" spans="17:21" x14ac:dyDescent="0.2">
      <c r="Q82" s="23">
        <v>81</v>
      </c>
      <c r="R82" s="9">
        <v>93.88422674990332</v>
      </c>
      <c r="S82" s="1">
        <v>0</v>
      </c>
      <c r="T82" s="1">
        <v>-2.0894912020675775</v>
      </c>
      <c r="U82" s="14">
        <v>-2.0894912020675775</v>
      </c>
    </row>
    <row r="83" spans="17:21" x14ac:dyDescent="0.2">
      <c r="Q83" s="23">
        <v>82</v>
      </c>
      <c r="R83" s="9">
        <v>103.79337934076555</v>
      </c>
      <c r="S83" s="1">
        <v>3.7933833407654731</v>
      </c>
      <c r="T83" s="1">
        <v>1.2307778831768843</v>
      </c>
      <c r="U83" s="14">
        <v>-2.5626054575885888</v>
      </c>
    </row>
    <row r="84" spans="17:21" x14ac:dyDescent="0.2">
      <c r="Q84" s="23">
        <v>83</v>
      </c>
      <c r="R84" s="9">
        <v>68.658934794722555</v>
      </c>
      <c r="S84" s="1">
        <v>0</v>
      </c>
      <c r="T84" s="1">
        <v>-2.5667351215854226</v>
      </c>
      <c r="U84" s="14">
        <v>-2.5667351215854226</v>
      </c>
    </row>
    <row r="85" spans="17:21" x14ac:dyDescent="0.2">
      <c r="Q85" s="23">
        <v>84</v>
      </c>
      <c r="R85" s="9">
        <v>95.001789263728327</v>
      </c>
      <c r="S85" s="1">
        <v>0</v>
      </c>
      <c r="T85" s="1">
        <v>-1.278079629739743</v>
      </c>
      <c r="U85" s="14">
        <v>-1.278079629739743</v>
      </c>
    </row>
    <row r="86" spans="17:21" x14ac:dyDescent="0.2">
      <c r="Q86" s="23">
        <v>85</v>
      </c>
      <c r="R86" s="9">
        <v>88.149241194400076</v>
      </c>
      <c r="S86" s="1">
        <v>0</v>
      </c>
      <c r="T86" s="1">
        <v>-0.9735537812565056</v>
      </c>
      <c r="U86" s="14">
        <v>-0.9735537812565056</v>
      </c>
    </row>
    <row r="87" spans="17:21" x14ac:dyDescent="0.2">
      <c r="Q87" s="23">
        <v>86</v>
      </c>
      <c r="R87" s="9">
        <v>90.827324269917426</v>
      </c>
      <c r="S87" s="1">
        <v>0</v>
      </c>
      <c r="T87" s="1">
        <v>-2.4018075897904265</v>
      </c>
      <c r="U87" s="14">
        <v>-2.4018075897904265</v>
      </c>
    </row>
    <row r="88" spans="17:21" x14ac:dyDescent="0.2">
      <c r="Q88" s="23">
        <v>87</v>
      </c>
      <c r="R88" s="9">
        <v>107.47361439660156</v>
      </c>
      <c r="S88" s="1">
        <v>7.4736183966014806</v>
      </c>
      <c r="T88" s="1">
        <v>8.5667091670542561</v>
      </c>
      <c r="U88" s="14">
        <v>1.0930907704527755</v>
      </c>
    </row>
    <row r="89" spans="17:21" x14ac:dyDescent="0.2">
      <c r="Q89" s="23">
        <v>88</v>
      </c>
      <c r="R89" s="9">
        <v>136.82488500726052</v>
      </c>
      <c r="S89" s="1">
        <v>36.824889007260438</v>
      </c>
      <c r="T89" s="1">
        <v>37.574968871253574</v>
      </c>
      <c r="U89" s="14">
        <v>0.75007986399313609</v>
      </c>
    </row>
    <row r="90" spans="17:21" x14ac:dyDescent="0.2">
      <c r="Q90" s="23">
        <v>89</v>
      </c>
      <c r="R90" s="9">
        <v>123.70752567492126</v>
      </c>
      <c r="S90" s="1">
        <v>23.707529674921176</v>
      </c>
      <c r="T90" s="1">
        <v>19.801523077672883</v>
      </c>
      <c r="U90" s="14">
        <v>-3.9060065972482931</v>
      </c>
    </row>
    <row r="91" spans="17:21" x14ac:dyDescent="0.2">
      <c r="Q91" s="23">
        <v>90</v>
      </c>
      <c r="R91" s="9">
        <v>119.36829643375528</v>
      </c>
      <c r="S91" s="1">
        <v>19.368300433755195</v>
      </c>
      <c r="T91" s="1">
        <v>20.298460242211377</v>
      </c>
      <c r="U91" s="14">
        <v>0.93015980845618174</v>
      </c>
    </row>
    <row r="92" spans="17:21" x14ac:dyDescent="0.2">
      <c r="Q92" s="23">
        <v>91</v>
      </c>
      <c r="R92" s="9">
        <v>94.394905525992286</v>
      </c>
      <c r="S92" s="1">
        <v>0</v>
      </c>
      <c r="T92" s="1">
        <v>3.0408682630464927</v>
      </c>
      <c r="U92" s="14">
        <v>3.0408682630464927</v>
      </c>
    </row>
    <row r="93" spans="17:21" x14ac:dyDescent="0.2">
      <c r="Q93" s="23">
        <v>92</v>
      </c>
      <c r="R93" s="9">
        <v>98.700282094291808</v>
      </c>
      <c r="S93" s="1">
        <v>0</v>
      </c>
      <c r="T93" s="1">
        <v>2.7751836797628826</v>
      </c>
      <c r="U93" s="14">
        <v>2.7751836797628826</v>
      </c>
    </row>
    <row r="94" spans="17:21" x14ac:dyDescent="0.2">
      <c r="Q94" s="23">
        <v>93</v>
      </c>
      <c r="R94" s="9">
        <v>102.69679409420112</v>
      </c>
      <c r="S94" s="1">
        <v>2.6967980942010428</v>
      </c>
      <c r="T94" s="1">
        <v>2.0558642742044242</v>
      </c>
      <c r="U94" s="14">
        <v>-0.64093381999661858</v>
      </c>
    </row>
    <row r="95" spans="17:21" x14ac:dyDescent="0.2">
      <c r="Q95" s="23">
        <v>94</v>
      </c>
      <c r="R95" s="9">
        <v>84.634536487826708</v>
      </c>
      <c r="S95" s="1">
        <v>0</v>
      </c>
      <c r="T95" s="1">
        <v>1.4187041144126384</v>
      </c>
      <c r="U95" s="14">
        <v>1.4187041144126384</v>
      </c>
    </row>
    <row r="96" spans="17:21" x14ac:dyDescent="0.2">
      <c r="Q96" s="23">
        <v>95</v>
      </c>
      <c r="R96" s="9">
        <v>91.928138045072927</v>
      </c>
      <c r="S96" s="1">
        <v>0</v>
      </c>
      <c r="T96" s="1">
        <v>1.5289523901454638</v>
      </c>
      <c r="U96" s="14">
        <v>1.5289523901454638</v>
      </c>
    </row>
    <row r="97" spans="17:21" x14ac:dyDescent="0.2">
      <c r="Q97" s="23">
        <v>96</v>
      </c>
      <c r="R97" s="9">
        <v>92.573022453437986</v>
      </c>
      <c r="S97" s="1">
        <v>0</v>
      </c>
      <c r="T97" s="1">
        <v>-0.9226432840665737</v>
      </c>
      <c r="U97" s="14">
        <v>-0.9226432840665737</v>
      </c>
    </row>
    <row r="98" spans="17:21" x14ac:dyDescent="0.2">
      <c r="Q98" s="23">
        <v>97</v>
      </c>
      <c r="R98" s="9">
        <v>101.79276239762829</v>
      </c>
      <c r="S98" s="1">
        <v>1.7927663976282133</v>
      </c>
      <c r="T98" s="1">
        <v>2.6500320113344316</v>
      </c>
      <c r="U98" s="14">
        <v>0.85726561370621823</v>
      </c>
    </row>
    <row r="99" spans="17:21" x14ac:dyDescent="0.2">
      <c r="Q99" s="23">
        <v>98</v>
      </c>
      <c r="R99" s="9">
        <v>105.67700871903574</v>
      </c>
      <c r="S99" s="1">
        <v>5.677012719035659</v>
      </c>
      <c r="T99" s="1">
        <v>7.7941948396755834</v>
      </c>
      <c r="U99" s="14">
        <v>2.1171821206399244</v>
      </c>
    </row>
    <row r="100" spans="17:21" x14ac:dyDescent="0.2">
      <c r="Q100" s="23">
        <v>99</v>
      </c>
      <c r="R100" s="9">
        <v>76.031328122873163</v>
      </c>
      <c r="S100" s="1">
        <v>0</v>
      </c>
      <c r="T100" s="1">
        <v>-0.26342944045315231</v>
      </c>
      <c r="U100" s="14">
        <v>-0.26342944045315231</v>
      </c>
    </row>
    <row r="101" spans="17:21" x14ac:dyDescent="0.2">
      <c r="Q101" s="23">
        <v>100</v>
      </c>
      <c r="R101" s="9">
        <v>114.29439312365425</v>
      </c>
      <c r="S101" s="1">
        <v>14.294397123654164</v>
      </c>
      <c r="T101" s="1">
        <v>12.716932969152964</v>
      </c>
      <c r="U101" s="14">
        <v>-1.5774641545012003</v>
      </c>
    </row>
    <row r="102" spans="17:21" x14ac:dyDescent="0.2">
      <c r="Q102" s="23">
        <v>101</v>
      </c>
      <c r="R102" s="9">
        <v>110.18550504974583</v>
      </c>
      <c r="S102" s="1">
        <v>10.185509049745747</v>
      </c>
      <c r="T102" s="1">
        <v>6.606790437137775</v>
      </c>
      <c r="U102" s="14">
        <v>-3.5787186126079717</v>
      </c>
    </row>
    <row r="103" spans="17:21" x14ac:dyDescent="0.2">
      <c r="Q103" s="23">
        <v>102</v>
      </c>
      <c r="R103" s="9">
        <v>100.21548608313179</v>
      </c>
      <c r="S103" s="1">
        <v>0.21549008313171214</v>
      </c>
      <c r="T103" s="1">
        <v>-1.6757252605956694</v>
      </c>
      <c r="U103" s="14">
        <v>-1.8912153437273815</v>
      </c>
    </row>
    <row r="104" spans="17:21" x14ac:dyDescent="0.2">
      <c r="Q104" s="23">
        <v>103</v>
      </c>
      <c r="R104" s="9">
        <v>96.206706732930144</v>
      </c>
      <c r="S104" s="1">
        <v>0</v>
      </c>
      <c r="T104" s="1">
        <v>-5.756161584801589E-2</v>
      </c>
      <c r="U104" s="14">
        <v>-5.756161584801589E-2</v>
      </c>
    </row>
    <row r="105" spans="17:21" x14ac:dyDescent="0.2">
      <c r="Q105" s="23">
        <v>104</v>
      </c>
      <c r="R105" s="9">
        <v>100.12904648016891</v>
      </c>
      <c r="S105" s="1">
        <v>0.12905048016899912</v>
      </c>
      <c r="T105" s="1">
        <v>3.1716768479160464</v>
      </c>
      <c r="U105" s="14">
        <v>3.0426263677470473</v>
      </c>
    </row>
    <row r="106" spans="17:21" x14ac:dyDescent="0.2">
      <c r="Q106" s="23">
        <v>105</v>
      </c>
      <c r="R106" s="9">
        <v>107.3100255788823</v>
      </c>
      <c r="S106" s="1">
        <v>7.3100295788822223</v>
      </c>
      <c r="T106" s="1">
        <v>4.8340707877647588</v>
      </c>
      <c r="U106" s="14">
        <v>-2.4759587911174634</v>
      </c>
    </row>
    <row r="107" spans="17:21" x14ac:dyDescent="0.2">
      <c r="Q107" s="23">
        <v>106</v>
      </c>
      <c r="R107" s="9">
        <v>86.592304726605335</v>
      </c>
      <c r="S107" s="1">
        <v>0</v>
      </c>
      <c r="T107" s="1">
        <v>1.0268632129118005</v>
      </c>
      <c r="U107" s="14">
        <v>1.0268632129118005</v>
      </c>
    </row>
    <row r="108" spans="17:21" x14ac:dyDescent="0.2">
      <c r="Q108" s="23">
        <v>107</v>
      </c>
      <c r="R108" s="9">
        <v>90.594831376121888</v>
      </c>
      <c r="S108" s="1">
        <v>0</v>
      </c>
      <c r="T108" s="1">
        <v>1.2509847290425871</v>
      </c>
      <c r="U108" s="14">
        <v>1.2509847290425871</v>
      </c>
    </row>
    <row r="109" spans="17:21" x14ac:dyDescent="0.2">
      <c r="Q109" s="23">
        <v>108</v>
      </c>
      <c r="R109" s="9">
        <v>93.349513886834615</v>
      </c>
      <c r="S109" s="1">
        <v>0</v>
      </c>
      <c r="T109" s="1">
        <v>-2.7327515119524453</v>
      </c>
      <c r="U109" s="14">
        <v>-2.7327515119524453</v>
      </c>
    </row>
    <row r="110" spans="17:21" x14ac:dyDescent="0.2">
      <c r="Q110" s="23">
        <v>109</v>
      </c>
      <c r="R110" s="9">
        <v>128.44518033365401</v>
      </c>
      <c r="S110" s="1">
        <v>28.445184333653927</v>
      </c>
      <c r="T110" s="1">
        <v>27.383249566857913</v>
      </c>
      <c r="U110" s="14">
        <v>-1.0619347667960142</v>
      </c>
    </row>
    <row r="111" spans="17:21" x14ac:dyDescent="0.2">
      <c r="Q111" s="23">
        <v>110</v>
      </c>
      <c r="R111" s="9">
        <v>153.35769365047301</v>
      </c>
      <c r="S111" s="1">
        <v>53.357697650472929</v>
      </c>
      <c r="T111" s="1">
        <v>50.999404799621018</v>
      </c>
      <c r="U111" s="14">
        <v>-2.3582928508519103</v>
      </c>
    </row>
    <row r="112" spans="17:21" x14ac:dyDescent="0.2">
      <c r="Q112" s="23">
        <v>111</v>
      </c>
      <c r="R112" s="9">
        <v>97.403654800954399</v>
      </c>
      <c r="S112" s="1">
        <v>0</v>
      </c>
      <c r="T112" s="1">
        <v>-1.9361309702622602</v>
      </c>
      <c r="U112" s="14">
        <v>-1.9361309702622602</v>
      </c>
    </row>
    <row r="113" spans="17:21" x14ac:dyDescent="0.2">
      <c r="Q113" s="23">
        <v>112</v>
      </c>
      <c r="R113" s="9">
        <v>151.447182783415</v>
      </c>
      <c r="S113" s="1">
        <v>51.447186783414921</v>
      </c>
      <c r="T113" s="1">
        <v>51.714495315611529</v>
      </c>
      <c r="U113" s="14">
        <v>0.26730853219660844</v>
      </c>
    </row>
    <row r="114" spans="17:21" x14ac:dyDescent="0.2">
      <c r="Q114" s="23">
        <v>113</v>
      </c>
      <c r="R114" s="9">
        <v>76.458152570568686</v>
      </c>
      <c r="S114" s="1">
        <v>0</v>
      </c>
      <c r="T114" s="1">
        <v>1.7369574879154419</v>
      </c>
      <c r="U114" s="14">
        <v>1.7369574879154419</v>
      </c>
    </row>
    <row r="115" spans="17:21" x14ac:dyDescent="0.2">
      <c r="Q115" s="23">
        <v>114</v>
      </c>
      <c r="R115" s="9">
        <v>91.399102855487115</v>
      </c>
      <c r="S115" s="1">
        <v>0</v>
      </c>
      <c r="T115" s="1">
        <v>0.87737750131292214</v>
      </c>
      <c r="U115" s="14">
        <v>0.87737750131292214</v>
      </c>
    </row>
    <row r="116" spans="17:21" x14ac:dyDescent="0.2">
      <c r="Q116" s="23">
        <v>115</v>
      </c>
      <c r="R116" s="9">
        <v>106.12790647345393</v>
      </c>
      <c r="S116" s="1">
        <v>6.1279104734538521</v>
      </c>
      <c r="T116" s="1">
        <v>5.4251822995446446</v>
      </c>
      <c r="U116" s="14">
        <v>-0.7027281739092075</v>
      </c>
    </row>
    <row r="117" spans="17:21" x14ac:dyDescent="0.2">
      <c r="Q117" s="23">
        <v>116</v>
      </c>
      <c r="R117" s="9">
        <v>133.54328272855568</v>
      </c>
      <c r="S117" s="1">
        <v>33.5432867285556</v>
      </c>
      <c r="T117" s="1">
        <v>33.330479013305705</v>
      </c>
      <c r="U117" s="14">
        <v>-0.21280771524989461</v>
      </c>
    </row>
    <row r="118" spans="17:21" x14ac:dyDescent="0.2">
      <c r="Q118" s="23">
        <v>117</v>
      </c>
      <c r="R118" s="9">
        <v>111.96313961256435</v>
      </c>
      <c r="S118" s="1">
        <v>11.963143612564267</v>
      </c>
      <c r="T118" s="1">
        <v>11.042480546028827</v>
      </c>
      <c r="U118" s="14">
        <v>-0.92066306653543961</v>
      </c>
    </row>
    <row r="119" spans="17:21" x14ac:dyDescent="0.2">
      <c r="Q119" s="23">
        <v>118</v>
      </c>
      <c r="R119" s="9">
        <v>126.05952653572085</v>
      </c>
      <c r="S119" s="1">
        <v>26.059530535720768</v>
      </c>
      <c r="T119" s="1">
        <v>25.792099619619719</v>
      </c>
      <c r="U119" s="14">
        <v>-0.26743091610104841</v>
      </c>
    </row>
    <row r="120" spans="17:21" x14ac:dyDescent="0.2">
      <c r="Q120" s="23">
        <v>119</v>
      </c>
      <c r="R120" s="9">
        <v>73.270565177602663</v>
      </c>
      <c r="S120" s="1">
        <v>0</v>
      </c>
      <c r="T120" s="1">
        <v>0.68895320031549301</v>
      </c>
      <c r="U120" s="14">
        <v>0.68895320031549301</v>
      </c>
    </row>
    <row r="121" spans="17:21" x14ac:dyDescent="0.2">
      <c r="Q121" s="23">
        <v>120</v>
      </c>
      <c r="R121" s="9">
        <v>90.384475636813704</v>
      </c>
      <c r="S121" s="1">
        <v>0</v>
      </c>
      <c r="T121" s="1">
        <v>1.617390471584045</v>
      </c>
      <c r="U121" s="14">
        <v>1.617390471584045</v>
      </c>
    </row>
    <row r="122" spans="17:21" x14ac:dyDescent="0.2">
      <c r="Q122" s="23">
        <v>121</v>
      </c>
      <c r="R122" s="9">
        <v>116.67131038546793</v>
      </c>
      <c r="S122" s="1">
        <v>16.671314385467852</v>
      </c>
      <c r="T122" s="1">
        <v>17.658227202751092</v>
      </c>
      <c r="U122" s="14">
        <v>0.98691281728324043</v>
      </c>
    </row>
    <row r="123" spans="17:21" x14ac:dyDescent="0.2">
      <c r="Q123" s="23">
        <v>122</v>
      </c>
      <c r="R123" s="9">
        <v>102.91877983066571</v>
      </c>
      <c r="S123" s="1">
        <v>2.9187838306656317</v>
      </c>
      <c r="T123" s="1">
        <v>5.1098318916574357</v>
      </c>
      <c r="U123" s="14">
        <v>2.1910480609918039</v>
      </c>
    </row>
    <row r="124" spans="17:21" x14ac:dyDescent="0.2">
      <c r="Q124" s="23">
        <v>123</v>
      </c>
      <c r="R124" s="9">
        <v>99.927818760767806</v>
      </c>
      <c r="S124" s="1">
        <v>7.502266497483312E-7</v>
      </c>
      <c r="T124" s="1">
        <v>3.09584015350024</v>
      </c>
      <c r="U124" s="14">
        <v>3.0958394032735903</v>
      </c>
    </row>
    <row r="125" spans="17:21" x14ac:dyDescent="0.2">
      <c r="Q125" s="23">
        <v>124</v>
      </c>
      <c r="R125" s="9">
        <v>111.67118132502874</v>
      </c>
      <c r="S125" s="1">
        <v>11.671185325028659</v>
      </c>
      <c r="T125" s="1">
        <v>12.464497489487286</v>
      </c>
      <c r="U125" s="14">
        <v>0.79331216445862651</v>
      </c>
    </row>
    <row r="126" spans="17:21" x14ac:dyDescent="0.2">
      <c r="Q126" s="23">
        <v>125</v>
      </c>
      <c r="R126" s="9">
        <v>88.916560768345832</v>
      </c>
      <c r="S126" s="1">
        <v>0</v>
      </c>
      <c r="T126" s="1">
        <v>1.1624106951130297</v>
      </c>
      <c r="U126" s="14">
        <v>1.1624106951130297</v>
      </c>
    </row>
    <row r="127" spans="17:21" x14ac:dyDescent="0.2">
      <c r="Q127" s="23">
        <v>126</v>
      </c>
      <c r="R127" s="9">
        <v>127.25548177316567</v>
      </c>
      <c r="S127" s="1">
        <v>27.255485773165589</v>
      </c>
      <c r="T127" s="1">
        <v>27.755369088335442</v>
      </c>
      <c r="U127" s="14">
        <v>0.4998833151698534</v>
      </c>
    </row>
    <row r="128" spans="17:21" x14ac:dyDescent="0.2">
      <c r="Q128" s="23">
        <v>127</v>
      </c>
      <c r="R128" s="9">
        <v>91.854871104406399</v>
      </c>
      <c r="S128" s="1">
        <v>0</v>
      </c>
      <c r="T128" s="1">
        <v>-1.4392990822957348</v>
      </c>
      <c r="U128" s="14">
        <v>-1.4392990822957348</v>
      </c>
    </row>
    <row r="129" spans="17:21" x14ac:dyDescent="0.2">
      <c r="Q129" s="23">
        <v>128</v>
      </c>
      <c r="R129" s="9">
        <v>96.15374378994558</v>
      </c>
      <c r="S129" s="1">
        <v>0</v>
      </c>
      <c r="T129" s="1">
        <v>-0.80607336570586519</v>
      </c>
      <c r="U129" s="14">
        <v>-0.80607336570586519</v>
      </c>
    </row>
    <row r="130" spans="17:21" x14ac:dyDescent="0.2">
      <c r="Q130" s="23">
        <v>129</v>
      </c>
      <c r="R130" s="9">
        <v>77.763443935500732</v>
      </c>
      <c r="S130" s="1">
        <v>0</v>
      </c>
      <c r="T130" s="1">
        <v>-0.63795663906904065</v>
      </c>
      <c r="U130" s="14">
        <v>-0.63795663906904065</v>
      </c>
    </row>
    <row r="131" spans="17:21" x14ac:dyDescent="0.2">
      <c r="Q131" s="23">
        <v>130</v>
      </c>
      <c r="R131" s="9">
        <v>115.68420163165695</v>
      </c>
      <c r="S131" s="1">
        <v>15.684205631656866</v>
      </c>
      <c r="T131" s="1">
        <v>15.941557801044254</v>
      </c>
      <c r="U131" s="14">
        <v>0.25735216938738859</v>
      </c>
    </row>
    <row r="132" spans="17:21" x14ac:dyDescent="0.2">
      <c r="Q132" s="23">
        <v>131</v>
      </c>
      <c r="R132" s="9">
        <v>127.33300660799742</v>
      </c>
      <c r="S132" s="1">
        <v>27.333010607997338</v>
      </c>
      <c r="T132" s="1">
        <v>27.008956893417988</v>
      </c>
      <c r="U132" s="14">
        <v>-0.32405371457934962</v>
      </c>
    </row>
    <row r="133" spans="17:21" x14ac:dyDescent="0.2">
      <c r="Q133" s="23">
        <v>132</v>
      </c>
      <c r="R133" s="9">
        <v>106.42404516064457</v>
      </c>
      <c r="S133" s="1">
        <v>6.4240491606444863</v>
      </c>
      <c r="T133" s="1">
        <v>4.0160593581166495</v>
      </c>
      <c r="U133" s="14">
        <v>-2.4079898025278368</v>
      </c>
    </row>
    <row r="134" spans="17:21" x14ac:dyDescent="0.2">
      <c r="Q134" s="23">
        <v>133</v>
      </c>
      <c r="R134" s="9">
        <v>152.33230860935487</v>
      </c>
      <c r="S134" s="1">
        <v>52.332312609354787</v>
      </c>
      <c r="T134" s="1">
        <v>52.279040342853946</v>
      </c>
      <c r="U134" s="14">
        <v>-5.3272266500840715E-2</v>
      </c>
    </row>
    <row r="135" spans="17:21" x14ac:dyDescent="0.2">
      <c r="Q135" s="23">
        <v>134</v>
      </c>
      <c r="R135" s="9">
        <v>102.63201501897588</v>
      </c>
      <c r="S135" s="1">
        <v>2.6320190189757966</v>
      </c>
      <c r="T135" s="1">
        <v>1.4633511311927663</v>
      </c>
      <c r="U135" s="14">
        <v>-1.1686678877830303</v>
      </c>
    </row>
    <row r="136" spans="17:21" x14ac:dyDescent="0.2">
      <c r="Q136" s="23">
        <v>135</v>
      </c>
      <c r="R136" s="9">
        <v>130.06306536835706</v>
      </c>
      <c r="S136" s="1">
        <v>30.063069368356977</v>
      </c>
      <c r="T136" s="1">
        <v>27.724162489521163</v>
      </c>
      <c r="U136" s="14">
        <v>-2.3389068788358145</v>
      </c>
    </row>
    <row r="137" spans="17:21" x14ac:dyDescent="0.2">
      <c r="Q137" s="23">
        <v>136</v>
      </c>
      <c r="R137" s="9">
        <v>83.781318513865287</v>
      </c>
      <c r="S137" s="1">
        <v>0</v>
      </c>
      <c r="T137" s="1">
        <v>-4.4502852171208547</v>
      </c>
      <c r="U137" s="14">
        <v>-4.4502852171208547</v>
      </c>
    </row>
    <row r="138" spans="17:21" x14ac:dyDescent="0.2">
      <c r="Q138" s="23">
        <v>137</v>
      </c>
      <c r="R138" s="9">
        <v>126.47593190394106</v>
      </c>
      <c r="S138" s="1">
        <v>26.475935903940979</v>
      </c>
      <c r="T138" s="1">
        <v>25.916052522315582</v>
      </c>
      <c r="U138" s="14">
        <v>-0.55988338162539719</v>
      </c>
    </row>
    <row r="139" spans="17:21" x14ac:dyDescent="0.2">
      <c r="Q139" s="23">
        <v>138</v>
      </c>
      <c r="R139" s="9">
        <v>130.20337445562936</v>
      </c>
      <c r="S139" s="1">
        <v>30.203378455629277</v>
      </c>
      <c r="T139" s="1">
        <v>30.649311403006493</v>
      </c>
      <c r="U139" s="14">
        <v>0.44593294737721578</v>
      </c>
    </row>
    <row r="140" spans="17:21" x14ac:dyDescent="0.2">
      <c r="Q140" s="23">
        <v>139</v>
      </c>
      <c r="R140" s="9">
        <v>153.22184022206392</v>
      </c>
      <c r="S140" s="1">
        <v>53.221844222063837</v>
      </c>
      <c r="T140" s="1">
        <v>51.849261039813328</v>
      </c>
      <c r="U140" s="14">
        <v>-1.3725831822505086</v>
      </c>
    </row>
    <row r="141" spans="17:21" x14ac:dyDescent="0.2">
      <c r="Q141" s="23">
        <v>140</v>
      </c>
      <c r="R141" s="9">
        <v>82.935592837293115</v>
      </c>
      <c r="S141" s="1">
        <v>0</v>
      </c>
      <c r="T141" s="1">
        <v>4.335158659256258E-2</v>
      </c>
      <c r="U141" s="14">
        <v>4.335158659256258E-2</v>
      </c>
    </row>
    <row r="142" spans="17:21" x14ac:dyDescent="0.2">
      <c r="Q142" s="23">
        <v>141</v>
      </c>
      <c r="R142" s="9">
        <v>98.585600454989304</v>
      </c>
      <c r="S142" s="1">
        <v>0</v>
      </c>
      <c r="T142" s="1">
        <v>2.6428157790799673</v>
      </c>
      <c r="U142" s="14">
        <v>2.6428157790799673</v>
      </c>
    </row>
    <row r="143" spans="17:21" x14ac:dyDescent="0.2">
      <c r="Q143" s="23">
        <v>142</v>
      </c>
      <c r="R143" s="9">
        <v>103.13024135656551</v>
      </c>
      <c r="S143" s="1">
        <v>3.1302453565654247</v>
      </c>
      <c r="T143" s="1">
        <v>4.4351752677331149</v>
      </c>
      <c r="U143" s="14">
        <v>1.3049299111676902</v>
      </c>
    </row>
    <row r="144" spans="17:21" x14ac:dyDescent="0.2">
      <c r="Q144" s="23">
        <v>143</v>
      </c>
      <c r="R144" s="9">
        <v>75.058562238900734</v>
      </c>
      <c r="S144" s="1">
        <v>0</v>
      </c>
      <c r="T144" s="1">
        <v>0.78114191215538764</v>
      </c>
      <c r="U144" s="14">
        <v>0.78114191215538764</v>
      </c>
    </row>
    <row r="145" spans="17:21" x14ac:dyDescent="0.2">
      <c r="Q145" s="23">
        <v>144</v>
      </c>
      <c r="R145" s="9">
        <v>117.23579984833654</v>
      </c>
      <c r="S145" s="1">
        <v>17.23580384833646</v>
      </c>
      <c r="T145" s="1">
        <v>15.967201579494969</v>
      </c>
      <c r="U145" s="14">
        <v>-1.2686022688414909</v>
      </c>
    </row>
    <row r="146" spans="17:21" x14ac:dyDescent="0.2">
      <c r="Q146" s="23">
        <v>145</v>
      </c>
      <c r="R146" s="9">
        <v>145.25188442817137</v>
      </c>
      <c r="S146" s="1">
        <v>45.251888428171284</v>
      </c>
      <c r="T146" s="1">
        <v>44.955965383390151</v>
      </c>
      <c r="U146" s="14">
        <v>-0.29592304478113363</v>
      </c>
    </row>
    <row r="147" spans="17:21" x14ac:dyDescent="0.2">
      <c r="Q147" s="23">
        <v>146</v>
      </c>
      <c r="R147" s="9">
        <v>65.943166564789962</v>
      </c>
      <c r="S147" s="1">
        <v>0</v>
      </c>
      <c r="T147" s="1">
        <v>-1.1449525741152837</v>
      </c>
      <c r="U147" s="14">
        <v>-1.1449525741152837</v>
      </c>
    </row>
    <row r="148" spans="17:21" x14ac:dyDescent="0.2">
      <c r="Q148" s="23">
        <v>147</v>
      </c>
      <c r="R148" s="9">
        <v>149.71995148720117</v>
      </c>
      <c r="S148" s="1">
        <v>49.719955487201091</v>
      </c>
      <c r="T148" s="1">
        <v>49.774879603115195</v>
      </c>
      <c r="U148" s="14">
        <v>5.4924115914104732E-2</v>
      </c>
    </row>
    <row r="149" spans="17:21" x14ac:dyDescent="0.2">
      <c r="Q149" s="23">
        <v>148</v>
      </c>
      <c r="R149" s="9">
        <v>85.549779248761112</v>
      </c>
      <c r="S149" s="1">
        <v>0</v>
      </c>
      <c r="T149" s="1">
        <v>-1.3466370928737321</v>
      </c>
      <c r="U149" s="14">
        <v>-1.3466370928737321</v>
      </c>
    </row>
    <row r="150" spans="17:21" x14ac:dyDescent="0.2">
      <c r="Q150" s="23">
        <v>149</v>
      </c>
      <c r="R150" s="9">
        <v>129.00396870015456</v>
      </c>
      <c r="S150" s="1">
        <v>29.003972700154478</v>
      </c>
      <c r="T150" s="1">
        <v>28.476788157334681</v>
      </c>
      <c r="U150" s="14">
        <v>-0.52718454281979632</v>
      </c>
    </row>
    <row r="151" spans="17:21" x14ac:dyDescent="0.2">
      <c r="Q151" s="23">
        <v>150</v>
      </c>
      <c r="R151" s="9">
        <v>110.96363640101411</v>
      </c>
      <c r="S151" s="1">
        <v>10.963640401014032</v>
      </c>
      <c r="T151" s="1">
        <v>12.134309985032544</v>
      </c>
      <c r="U151" s="14">
        <v>1.170669584018512</v>
      </c>
    </row>
    <row r="152" spans="17:21" x14ac:dyDescent="0.2">
      <c r="Q152" s="23">
        <v>151</v>
      </c>
      <c r="R152" s="9">
        <v>66.255083356872476</v>
      </c>
      <c r="S152" s="1">
        <v>0</v>
      </c>
      <c r="T152" s="1">
        <v>-2.9908856161040016</v>
      </c>
      <c r="U152" s="14">
        <v>-2.9908856161040016</v>
      </c>
    </row>
    <row r="153" spans="17:21" x14ac:dyDescent="0.2">
      <c r="Q153" s="23">
        <v>152</v>
      </c>
      <c r="R153" s="9">
        <v>98.745391893013704</v>
      </c>
      <c r="S153" s="1">
        <v>0</v>
      </c>
      <c r="T153" s="1">
        <v>3.3839021629971491</v>
      </c>
      <c r="U153" s="14">
        <v>3.3839021629971491</v>
      </c>
    </row>
    <row r="154" spans="17:21" x14ac:dyDescent="0.2">
      <c r="Q154" s="23">
        <v>153</v>
      </c>
      <c r="R154" s="9">
        <v>98.375051043838539</v>
      </c>
      <c r="S154" s="1">
        <v>0</v>
      </c>
      <c r="T154" s="1">
        <v>-1.6729806734404988</v>
      </c>
      <c r="U154" s="14">
        <v>-1.6729806734404988</v>
      </c>
    </row>
    <row r="155" spans="17:21" x14ac:dyDescent="0.2">
      <c r="Q155" s="23">
        <v>154</v>
      </c>
      <c r="R155" s="9">
        <v>86.804754705776404</v>
      </c>
      <c r="S155" s="1">
        <v>0</v>
      </c>
      <c r="T155" s="1">
        <v>-0.28915588906760425</v>
      </c>
      <c r="U155" s="14">
        <v>-0.28915588906760425</v>
      </c>
    </row>
    <row r="156" spans="17:21" x14ac:dyDescent="0.2">
      <c r="Q156" s="23">
        <v>155</v>
      </c>
      <c r="R156" s="9">
        <v>126.43709743390629</v>
      </c>
      <c r="S156" s="1">
        <v>26.437101433906207</v>
      </c>
      <c r="T156" s="1">
        <v>27.208026696177001</v>
      </c>
      <c r="U156" s="14">
        <v>0.77092526227079361</v>
      </c>
    </row>
    <row r="157" spans="17:21" x14ac:dyDescent="0.2">
      <c r="Q157" s="23">
        <v>156</v>
      </c>
      <c r="R157" s="9">
        <v>123.54763335388567</v>
      </c>
      <c r="S157" s="1">
        <v>23.547637353885591</v>
      </c>
      <c r="T157" s="1">
        <v>24.256168877054918</v>
      </c>
      <c r="U157" s="14">
        <v>0.70853152316932722</v>
      </c>
    </row>
    <row r="158" spans="17:21" x14ac:dyDescent="0.2">
      <c r="Q158" s="23">
        <v>157</v>
      </c>
      <c r="R158" s="9">
        <v>181.75274964099546</v>
      </c>
      <c r="S158" s="1">
        <v>81.75275364099538</v>
      </c>
      <c r="T158" s="1">
        <v>81.096011065005939</v>
      </c>
      <c r="U158" s="14">
        <v>-0.65674257598944052</v>
      </c>
    </row>
    <row r="159" spans="17:21" x14ac:dyDescent="0.2">
      <c r="Q159" s="23">
        <v>158</v>
      </c>
      <c r="R159" s="9">
        <v>110.8978064819305</v>
      </c>
      <c r="S159" s="1">
        <v>10.897810481930421</v>
      </c>
      <c r="T159" s="1">
        <v>7.9981430426066709</v>
      </c>
      <c r="U159" s="14">
        <v>-2.8996674393237498</v>
      </c>
    </row>
    <row r="160" spans="17:21" x14ac:dyDescent="0.2">
      <c r="Q160" s="23">
        <v>159</v>
      </c>
      <c r="R160" s="9">
        <v>114.40621272684022</v>
      </c>
      <c r="S160" s="1">
        <v>14.406216726840142</v>
      </c>
      <c r="T160" s="1">
        <v>15.988265437117377</v>
      </c>
      <c r="U160" s="14">
        <v>1.5820487102772347</v>
      </c>
    </row>
    <row r="161" spans="17:21" x14ac:dyDescent="0.2">
      <c r="Q161" s="23">
        <v>160</v>
      </c>
      <c r="R161" s="9">
        <v>145.53690236031471</v>
      </c>
      <c r="S161" s="1">
        <v>45.536906360314632</v>
      </c>
      <c r="T161" s="1">
        <v>44.426653102516653</v>
      </c>
      <c r="U161" s="14">
        <v>-1.1102532577979787</v>
      </c>
    </row>
    <row r="162" spans="17:21" x14ac:dyDescent="0.2">
      <c r="Q162" s="23">
        <v>161</v>
      </c>
      <c r="R162" s="9">
        <v>89.247274670102797</v>
      </c>
      <c r="S162" s="1">
        <v>0</v>
      </c>
      <c r="T162" s="1">
        <v>-0.78302063730183846</v>
      </c>
      <c r="U162" s="14">
        <v>-0.78302063730183846</v>
      </c>
    </row>
    <row r="163" spans="17:21" x14ac:dyDescent="0.2">
      <c r="Q163" s="23">
        <v>162</v>
      </c>
      <c r="R163" s="9">
        <v>144.65791899358558</v>
      </c>
      <c r="S163" s="1">
        <v>44.657922993585501</v>
      </c>
      <c r="T163" s="1">
        <v>44.915234361007478</v>
      </c>
      <c r="U163" s="14">
        <v>0.25731136742197691</v>
      </c>
    </row>
    <row r="164" spans="17:21" x14ac:dyDescent="0.2">
      <c r="Q164" s="23">
        <v>163</v>
      </c>
      <c r="R164" s="9">
        <v>98.194779217845038</v>
      </c>
      <c r="S164" s="1">
        <v>0</v>
      </c>
      <c r="T164" s="1">
        <v>3.1466927799145523</v>
      </c>
      <c r="U164" s="14">
        <v>3.1466927799145523</v>
      </c>
    </row>
    <row r="165" spans="17:21" x14ac:dyDescent="0.2">
      <c r="Q165" s="23">
        <v>164</v>
      </c>
      <c r="R165" s="9">
        <v>125.56094234104319</v>
      </c>
      <c r="S165" s="1">
        <v>25.560946341043106</v>
      </c>
      <c r="T165" s="1">
        <v>26.304915003181904</v>
      </c>
      <c r="U165" s="14">
        <v>0.74396866213879775</v>
      </c>
    </row>
    <row r="166" spans="17:21" x14ac:dyDescent="0.2">
      <c r="Q166" s="23">
        <v>165</v>
      </c>
      <c r="R166" s="9">
        <v>115.49357948075421</v>
      </c>
      <c r="S166" s="1">
        <v>15.493583480754126</v>
      </c>
      <c r="T166" s="1">
        <v>16.324249664937653</v>
      </c>
      <c r="U166" s="14">
        <v>0.83066618418352789</v>
      </c>
    </row>
    <row r="167" spans="17:21" x14ac:dyDescent="0.2">
      <c r="Q167" s="23">
        <v>166</v>
      </c>
      <c r="R167" s="9">
        <v>102.98218813891174</v>
      </c>
      <c r="S167" s="1">
        <v>2.9821921389116568</v>
      </c>
      <c r="T167" s="1">
        <v>5.922725282817197</v>
      </c>
      <c r="U167" s="14">
        <v>2.9405331439055402</v>
      </c>
    </row>
    <row r="168" spans="17:21" x14ac:dyDescent="0.2">
      <c r="Q168" s="23">
        <v>167</v>
      </c>
      <c r="R168" s="9">
        <v>114.15959392299219</v>
      </c>
      <c r="S168" s="1">
        <v>14.159597922992106</v>
      </c>
      <c r="T168" s="1">
        <v>13.001464975659616</v>
      </c>
      <c r="U168" s="14">
        <v>-1.1581329473324899</v>
      </c>
    </row>
    <row r="169" spans="17:21" x14ac:dyDescent="0.2">
      <c r="Q169" s="23">
        <v>168</v>
      </c>
      <c r="R169" s="9">
        <v>72.675502795997332</v>
      </c>
      <c r="S169" s="1">
        <v>0</v>
      </c>
      <c r="T169" s="1">
        <v>0.67044483388109111</v>
      </c>
      <c r="U169" s="14">
        <v>0.67044483388109111</v>
      </c>
    </row>
    <row r="170" spans="17:21" x14ac:dyDescent="0.2">
      <c r="Q170" s="23">
        <v>169</v>
      </c>
      <c r="R170" s="9">
        <v>89.763787360545891</v>
      </c>
      <c r="S170" s="1">
        <v>0</v>
      </c>
      <c r="T170" s="1">
        <v>1.3483141874844944E-2</v>
      </c>
      <c r="U170" s="14">
        <v>1.3483141874844944E-2</v>
      </c>
    </row>
    <row r="171" spans="17:21" x14ac:dyDescent="0.2">
      <c r="Q171" s="23">
        <v>170</v>
      </c>
      <c r="R171" s="9">
        <v>105.33690477564726</v>
      </c>
      <c r="S171" s="1">
        <v>5.3369087756471743</v>
      </c>
      <c r="T171" s="1">
        <v>5.3175745478289684</v>
      </c>
      <c r="U171" s="14">
        <v>-1.9334227818205818E-2</v>
      </c>
    </row>
    <row r="172" spans="17:21" x14ac:dyDescent="0.2">
      <c r="Q172" s="23">
        <v>171</v>
      </c>
      <c r="R172" s="9">
        <v>110.83102908544832</v>
      </c>
      <c r="S172" s="1">
        <v>10.83103308544824</v>
      </c>
      <c r="T172" s="1">
        <v>13.00867450556315</v>
      </c>
      <c r="U172" s="14">
        <v>2.1776414201149095</v>
      </c>
    </row>
    <row r="173" spans="17:21" x14ac:dyDescent="0.2">
      <c r="Q173" s="23">
        <v>172</v>
      </c>
      <c r="R173" s="9">
        <v>105.01528870973591</v>
      </c>
      <c r="S173" s="1">
        <v>5.0152927097358315</v>
      </c>
      <c r="T173" s="1">
        <v>7.0400626588488677</v>
      </c>
      <c r="U173" s="14">
        <v>2.0247699491130362</v>
      </c>
    </row>
    <row r="174" spans="17:21" x14ac:dyDescent="0.2">
      <c r="Q174" s="23">
        <v>173</v>
      </c>
      <c r="R174" s="9">
        <v>111.49544097839591</v>
      </c>
      <c r="S174" s="1">
        <v>11.495444978395824</v>
      </c>
      <c r="T174" s="1">
        <v>10.922299855757373</v>
      </c>
      <c r="U174" s="14">
        <v>-0.57314512263845074</v>
      </c>
    </row>
    <row r="175" spans="17:21" x14ac:dyDescent="0.2">
      <c r="Q175" s="23">
        <v>174</v>
      </c>
      <c r="R175" s="9">
        <v>86.024058069532543</v>
      </c>
      <c r="S175" s="1">
        <v>0</v>
      </c>
      <c r="T175" s="1">
        <v>-0.88707713709605374</v>
      </c>
      <c r="U175" s="14">
        <v>-0.88707713709605374</v>
      </c>
    </row>
    <row r="176" spans="17:21" x14ac:dyDescent="0.2">
      <c r="Q176" s="23">
        <v>175</v>
      </c>
      <c r="R176" s="9">
        <v>81.298386835996737</v>
      </c>
      <c r="S176" s="1">
        <v>0</v>
      </c>
      <c r="T176" s="1">
        <v>0.27698738434546277</v>
      </c>
      <c r="U176" s="14">
        <v>0.27698738434546277</v>
      </c>
    </row>
    <row r="177" spans="17:21" x14ac:dyDescent="0.2">
      <c r="Q177" s="23">
        <v>176</v>
      </c>
      <c r="R177" s="9">
        <v>65.803672715864437</v>
      </c>
      <c r="S177" s="1">
        <v>0</v>
      </c>
      <c r="T177" s="1">
        <v>-1.4289712005270832</v>
      </c>
      <c r="U177" s="14">
        <v>-1.4289712005270832</v>
      </c>
    </row>
    <row r="178" spans="17:21" x14ac:dyDescent="0.2">
      <c r="Q178" s="23">
        <v>177</v>
      </c>
      <c r="R178" s="9">
        <v>71.695283013659321</v>
      </c>
      <c r="S178" s="1">
        <v>0</v>
      </c>
      <c r="T178" s="1">
        <v>-1.1028242498567542</v>
      </c>
      <c r="U178" s="14">
        <v>-1.1028242498567542</v>
      </c>
    </row>
    <row r="179" spans="17:21" x14ac:dyDescent="0.2">
      <c r="Q179" s="23">
        <v>178</v>
      </c>
      <c r="R179" s="9">
        <v>74.988224028727046</v>
      </c>
      <c r="S179" s="1">
        <v>0</v>
      </c>
      <c r="T179" s="1">
        <v>-1.3579248605074354</v>
      </c>
      <c r="U179" s="14">
        <v>-1.3579248605074354</v>
      </c>
    </row>
    <row r="180" spans="17:21" x14ac:dyDescent="0.2">
      <c r="Q180" s="23">
        <v>179</v>
      </c>
      <c r="R180" s="9">
        <v>126.61901532092573</v>
      </c>
      <c r="S180" s="1">
        <v>26.619019320925645</v>
      </c>
      <c r="T180" s="1">
        <v>27.976823521651738</v>
      </c>
      <c r="U180" s="14">
        <v>1.3578042007260933</v>
      </c>
    </row>
    <row r="181" spans="17:21" x14ac:dyDescent="0.2">
      <c r="Q181" s="23">
        <v>180</v>
      </c>
      <c r="R181" s="9">
        <v>86.47501912558532</v>
      </c>
      <c r="S181" s="1">
        <v>0</v>
      </c>
      <c r="T181" s="1">
        <v>1.0125912140605069</v>
      </c>
      <c r="U181" s="14">
        <v>1.0125912140605069</v>
      </c>
    </row>
    <row r="182" spans="17:21" x14ac:dyDescent="0.2">
      <c r="Q182" s="23">
        <v>181</v>
      </c>
      <c r="R182" s="9">
        <v>116.39605104490197</v>
      </c>
      <c r="S182" s="1">
        <v>16.396055044901885</v>
      </c>
      <c r="T182" s="1">
        <v>17.45803579905639</v>
      </c>
      <c r="U182" s="14">
        <v>1.0619807541545043</v>
      </c>
    </row>
    <row r="183" spans="17:21" x14ac:dyDescent="0.2">
      <c r="Q183" s="23">
        <v>182</v>
      </c>
      <c r="R183" s="9">
        <v>113.58084634427382</v>
      </c>
      <c r="S183" s="1">
        <v>13.580850344273742</v>
      </c>
      <c r="T183" s="1">
        <v>14.190344729033114</v>
      </c>
      <c r="U183" s="14">
        <v>0.60949438475937256</v>
      </c>
    </row>
    <row r="184" spans="17:21" x14ac:dyDescent="0.2">
      <c r="Q184" s="23">
        <v>183</v>
      </c>
      <c r="R184" s="9">
        <v>76.497188128355731</v>
      </c>
      <c r="S184" s="1">
        <v>0</v>
      </c>
      <c r="T184" s="1">
        <v>5.8183171331224241E-2</v>
      </c>
      <c r="U184" s="14">
        <v>5.8183171331224241E-2</v>
      </c>
    </row>
    <row r="185" spans="17:21" x14ac:dyDescent="0.2">
      <c r="Q185" s="23">
        <v>184</v>
      </c>
      <c r="R185" s="9">
        <v>85.699395503519781</v>
      </c>
      <c r="S185" s="1">
        <v>0</v>
      </c>
      <c r="T185" s="1">
        <v>-3.3268077452571201</v>
      </c>
      <c r="U185" s="14">
        <v>-3.3268077452571201</v>
      </c>
    </row>
    <row r="186" spans="17:21" x14ac:dyDescent="0.2">
      <c r="Q186" s="23">
        <v>185</v>
      </c>
      <c r="R186" s="9">
        <v>83.324203312533598</v>
      </c>
      <c r="S186" s="1">
        <v>0</v>
      </c>
      <c r="T186" s="1">
        <v>0.30151903879473935</v>
      </c>
      <c r="U186" s="14">
        <v>0.30151903879473935</v>
      </c>
    </row>
    <row r="187" spans="17:21" x14ac:dyDescent="0.2">
      <c r="Q187" s="23">
        <v>186</v>
      </c>
      <c r="R187" s="9">
        <v>87.014796295382325</v>
      </c>
      <c r="S187" s="1">
        <v>0</v>
      </c>
      <c r="T187" s="1">
        <v>2.2513406071662789</v>
      </c>
      <c r="U187" s="14">
        <v>2.2513406071662789</v>
      </c>
    </row>
    <row r="188" spans="17:21" x14ac:dyDescent="0.2">
      <c r="Q188" s="23">
        <v>187</v>
      </c>
      <c r="R188" s="9">
        <v>62.690102067364997</v>
      </c>
      <c r="S188" s="1">
        <v>0</v>
      </c>
      <c r="T188" s="1">
        <v>-1.6137777113865239</v>
      </c>
      <c r="U188" s="14">
        <v>-1.6137777113865239</v>
      </c>
    </row>
    <row r="189" spans="17:21" x14ac:dyDescent="0.2">
      <c r="Q189" s="23">
        <v>188</v>
      </c>
      <c r="R189" s="9">
        <v>130.58323271816843</v>
      </c>
      <c r="S189" s="1">
        <v>30.583236718168351</v>
      </c>
      <c r="T189" s="1">
        <v>27.899010843087382</v>
      </c>
      <c r="U189" s="14">
        <v>-2.6842258750809691</v>
      </c>
    </row>
    <row r="190" spans="17:21" x14ac:dyDescent="0.2">
      <c r="Q190" s="23">
        <v>189</v>
      </c>
      <c r="R190" s="9">
        <v>76.12366462772296</v>
      </c>
      <c r="S190" s="1">
        <v>0</v>
      </c>
      <c r="T190" s="1">
        <v>-0.97573105892712753</v>
      </c>
      <c r="U190" s="14">
        <v>-0.97573105892712753</v>
      </c>
    </row>
    <row r="191" spans="17:21" x14ac:dyDescent="0.2">
      <c r="Q191" s="23">
        <v>190</v>
      </c>
      <c r="R191" s="9">
        <v>79.7490826046661</v>
      </c>
      <c r="S191" s="1">
        <v>0</v>
      </c>
      <c r="T191" s="1">
        <v>-1.5225191938735128</v>
      </c>
      <c r="U191" s="14">
        <v>-1.5225191938735128</v>
      </c>
    </row>
    <row r="192" spans="17:21" x14ac:dyDescent="0.2">
      <c r="Q192" s="23">
        <v>191</v>
      </c>
      <c r="R192" s="9">
        <v>87.295052565793142</v>
      </c>
      <c r="S192" s="1">
        <v>0</v>
      </c>
      <c r="T192" s="1">
        <v>1.1873141081959966</v>
      </c>
      <c r="U192" s="14">
        <v>1.1873141081959966</v>
      </c>
    </row>
    <row r="193" spans="17:21" x14ac:dyDescent="0.2">
      <c r="Q193" s="23">
        <v>192</v>
      </c>
      <c r="R193" s="9">
        <v>139.79381290158443</v>
      </c>
      <c r="S193" s="1">
        <v>39.79381690158435</v>
      </c>
      <c r="T193" s="1">
        <v>40.709908169751614</v>
      </c>
      <c r="U193" s="14">
        <v>0.91609126816726416</v>
      </c>
    </row>
    <row r="194" spans="17:21" x14ac:dyDescent="0.2">
      <c r="Q194" s="23">
        <v>193</v>
      </c>
      <c r="R194" s="9">
        <v>119.92691587085395</v>
      </c>
      <c r="S194" s="1">
        <v>19.926919870853865</v>
      </c>
      <c r="T194" s="1">
        <v>18.607785357202062</v>
      </c>
      <c r="U194" s="14">
        <v>-1.3191345136518038</v>
      </c>
    </row>
    <row r="195" spans="17:21" x14ac:dyDescent="0.2">
      <c r="Q195" s="23">
        <v>194</v>
      </c>
      <c r="R195" s="9">
        <v>124.27443609580192</v>
      </c>
      <c r="S195" s="1">
        <v>24.274440095801836</v>
      </c>
      <c r="T195" s="1">
        <v>25.590177445886226</v>
      </c>
      <c r="U195" s="14">
        <v>1.3157373500843903</v>
      </c>
    </row>
    <row r="196" spans="17:21" x14ac:dyDescent="0.2">
      <c r="Q196" s="23">
        <v>195</v>
      </c>
      <c r="R196" s="9">
        <v>84.511548588032255</v>
      </c>
      <c r="S196" s="1">
        <v>0</v>
      </c>
      <c r="T196" s="1">
        <v>1.0732619661052745</v>
      </c>
      <c r="U196" s="14">
        <v>1.0732619661052745</v>
      </c>
    </row>
    <row r="197" spans="17:21" x14ac:dyDescent="0.2">
      <c r="Q197" s="23">
        <v>196</v>
      </c>
      <c r="R197" s="9">
        <v>83.11537311204529</v>
      </c>
      <c r="S197" s="1">
        <v>0</v>
      </c>
      <c r="T197" s="1">
        <v>1.8939542461252379</v>
      </c>
      <c r="U197" s="14">
        <v>1.8939542461252379</v>
      </c>
    </row>
    <row r="198" spans="17:21" x14ac:dyDescent="0.2">
      <c r="Q198" s="23">
        <v>197</v>
      </c>
      <c r="R198" s="9">
        <v>83.343549353715872</v>
      </c>
      <c r="S198" s="1">
        <v>0</v>
      </c>
      <c r="T198" s="1">
        <v>7.518219969961662E-2</v>
      </c>
      <c r="U198" s="14">
        <v>7.518219969961662E-2</v>
      </c>
    </row>
    <row r="199" spans="17:21" x14ac:dyDescent="0.2">
      <c r="Q199" s="23">
        <v>198</v>
      </c>
      <c r="R199" s="9">
        <v>82.995609336556527</v>
      </c>
      <c r="S199" s="1">
        <v>0</v>
      </c>
      <c r="T199" s="1">
        <v>0.73456333664958107</v>
      </c>
      <c r="U199" s="14">
        <v>0.73456333664958107</v>
      </c>
    </row>
    <row r="200" spans="17:21" x14ac:dyDescent="0.2">
      <c r="Q200" s="23">
        <v>199</v>
      </c>
      <c r="R200" s="9">
        <v>89.248156449724164</v>
      </c>
      <c r="S200" s="1">
        <v>0</v>
      </c>
      <c r="T200" s="1">
        <v>0.47583336751111904</v>
      </c>
      <c r="U200" s="14">
        <v>0.47583336751111904</v>
      </c>
    </row>
    <row r="201" spans="17:21" x14ac:dyDescent="0.2">
      <c r="Q201" s="23">
        <v>200</v>
      </c>
      <c r="R201" s="9">
        <v>73.174758143431404</v>
      </c>
      <c r="S201" s="1">
        <v>0</v>
      </c>
      <c r="T201" s="1">
        <v>1.1752818516959624</v>
      </c>
      <c r="U201" s="14">
        <v>1.1752818516959624</v>
      </c>
    </row>
    <row r="202" spans="17:21" x14ac:dyDescent="0.2">
      <c r="Q202" s="23">
        <v>201</v>
      </c>
      <c r="R202" s="9">
        <v>125.95851806628029</v>
      </c>
      <c r="S202" s="1">
        <v>25.95852206628021</v>
      </c>
      <c r="T202" s="1">
        <v>26.179778952945995</v>
      </c>
      <c r="U202" s="14">
        <v>0.22125688666578469</v>
      </c>
    </row>
    <row r="203" spans="17:21" x14ac:dyDescent="0.2">
      <c r="Q203" s="23">
        <v>202</v>
      </c>
      <c r="R203" s="9">
        <v>92.489748699922728</v>
      </c>
      <c r="S203" s="1">
        <v>0</v>
      </c>
      <c r="T203" s="1">
        <v>-1.0688293614153745</v>
      </c>
      <c r="U203" s="14">
        <v>-1.0688293614153745</v>
      </c>
    </row>
    <row r="204" spans="17:21" x14ac:dyDescent="0.2">
      <c r="Q204" s="23">
        <v>203</v>
      </c>
      <c r="R204" s="9">
        <v>142.878283142729</v>
      </c>
      <c r="S204" s="1">
        <v>42.878287142728922</v>
      </c>
      <c r="T204" s="1">
        <v>43.929276081791727</v>
      </c>
      <c r="U204" s="14">
        <v>1.0509889390628047</v>
      </c>
    </row>
    <row r="205" spans="17:21" x14ac:dyDescent="0.2">
      <c r="Q205" s="23">
        <v>204</v>
      </c>
      <c r="R205" s="9">
        <v>100.62090478275854</v>
      </c>
      <c r="S205" s="1">
        <v>0.62090878275846251</v>
      </c>
      <c r="T205" s="1">
        <v>2.4719368806713078</v>
      </c>
      <c r="U205" s="14">
        <v>1.8510280979128453</v>
      </c>
    </row>
    <row r="206" spans="17:21" x14ac:dyDescent="0.2">
      <c r="Q206" s="23">
        <v>205</v>
      </c>
      <c r="R206" s="9">
        <v>92.783190848179302</v>
      </c>
      <c r="S206" s="1">
        <v>0</v>
      </c>
      <c r="T206" s="1">
        <v>-0.95113101897342789</v>
      </c>
      <c r="U206" s="14">
        <v>-0.95113101897342789</v>
      </c>
    </row>
    <row r="207" spans="17:21" x14ac:dyDescent="0.2">
      <c r="Q207" s="23">
        <v>206</v>
      </c>
      <c r="R207" s="9">
        <v>87.721724449293845</v>
      </c>
      <c r="S207" s="1">
        <v>0</v>
      </c>
      <c r="T207" s="1">
        <v>-3.2307666145046703</v>
      </c>
      <c r="U207" s="14">
        <v>-3.2307666145046703</v>
      </c>
    </row>
    <row r="208" spans="17:21" x14ac:dyDescent="0.2">
      <c r="Q208" s="23">
        <v>207</v>
      </c>
      <c r="R208" s="9">
        <v>83.594586802925278</v>
      </c>
      <c r="S208" s="1">
        <v>0</v>
      </c>
      <c r="T208" s="1">
        <v>0.34227578182727125</v>
      </c>
      <c r="U208" s="14">
        <v>0.34227578182727125</v>
      </c>
    </row>
    <row r="209" spans="17:21" x14ac:dyDescent="0.2">
      <c r="Q209" s="23">
        <v>208</v>
      </c>
      <c r="R209" s="9">
        <v>111.50705579854603</v>
      </c>
      <c r="S209" s="1">
        <v>11.507059798545953</v>
      </c>
      <c r="T209" s="1">
        <v>11.027941935530606</v>
      </c>
      <c r="U209" s="14">
        <v>-0.47911786301534676</v>
      </c>
    </row>
    <row r="210" spans="17:21" x14ac:dyDescent="0.2">
      <c r="Q210" s="23">
        <v>209</v>
      </c>
      <c r="R210" s="9">
        <v>117.40037679100739</v>
      </c>
      <c r="S210" s="1">
        <v>17.400380791007308</v>
      </c>
      <c r="T210" s="1">
        <v>17.833262150233978</v>
      </c>
      <c r="U210" s="14">
        <v>0.43288135922666982</v>
      </c>
    </row>
    <row r="211" spans="17:21" x14ac:dyDescent="0.2">
      <c r="Q211" s="23">
        <v>210</v>
      </c>
      <c r="R211" s="9">
        <v>114.93458817055944</v>
      </c>
      <c r="S211" s="1">
        <v>14.934592170559355</v>
      </c>
      <c r="T211" s="1">
        <v>15.417251401434086</v>
      </c>
      <c r="U211" s="14">
        <v>0.48265923087473084</v>
      </c>
    </row>
    <row r="212" spans="17:21" x14ac:dyDescent="0.2">
      <c r="Q212" s="23">
        <v>211</v>
      </c>
      <c r="R212" s="9">
        <v>103.79998593921698</v>
      </c>
      <c r="S212" s="1">
        <v>3.7999899392168999</v>
      </c>
      <c r="T212" s="1">
        <v>6.9104267663814483</v>
      </c>
      <c r="U212" s="14">
        <v>3.1104368271645484</v>
      </c>
    </row>
    <row r="213" spans="17:21" x14ac:dyDescent="0.2">
      <c r="Q213" s="23">
        <v>212</v>
      </c>
      <c r="R213" s="9">
        <v>94.085735312721823</v>
      </c>
      <c r="S213" s="1">
        <v>0</v>
      </c>
      <c r="T213" s="1">
        <v>0.45227444291365515</v>
      </c>
      <c r="U213" s="14">
        <v>0.45227444291365515</v>
      </c>
    </row>
    <row r="214" spans="17:21" x14ac:dyDescent="0.2">
      <c r="Q214" s="23">
        <v>213</v>
      </c>
      <c r="R214" s="9">
        <v>114.91418843743128</v>
      </c>
      <c r="S214" s="1">
        <v>14.914192437431197</v>
      </c>
      <c r="T214" s="1">
        <v>16.068859139833691</v>
      </c>
      <c r="U214" s="14">
        <v>1.1546667024024941</v>
      </c>
    </row>
    <row r="215" spans="17:21" x14ac:dyDescent="0.2">
      <c r="Q215" s="23">
        <v>214</v>
      </c>
      <c r="R215" s="9">
        <v>114.51646037261716</v>
      </c>
      <c r="S215" s="1">
        <v>14.516464372617079</v>
      </c>
      <c r="T215" s="1">
        <v>12.270174343197553</v>
      </c>
      <c r="U215" s="14">
        <v>-2.2462900294195265</v>
      </c>
    </row>
    <row r="216" spans="17:21" x14ac:dyDescent="0.2">
      <c r="Q216" s="23">
        <v>215</v>
      </c>
      <c r="R216" s="9">
        <v>115.88112883208068</v>
      </c>
      <c r="S216" s="1">
        <v>15.881132832080596</v>
      </c>
      <c r="T216" s="1">
        <v>15.400621196328089</v>
      </c>
      <c r="U216" s="14">
        <v>-0.48051163575250655</v>
      </c>
    </row>
    <row r="217" spans="17:21" x14ac:dyDescent="0.2">
      <c r="Q217" s="23">
        <v>216</v>
      </c>
      <c r="R217" s="9">
        <v>92.437489031963167</v>
      </c>
      <c r="S217" s="1">
        <v>0</v>
      </c>
      <c r="T217" s="1">
        <v>-6.5724288843702183E-2</v>
      </c>
      <c r="U217" s="14">
        <v>-6.5724288843702183E-2</v>
      </c>
    </row>
    <row r="218" spans="17:21" x14ac:dyDescent="0.2">
      <c r="Q218" s="23">
        <v>217</v>
      </c>
      <c r="R218" s="9">
        <v>119.10855085886368</v>
      </c>
      <c r="S218" s="1">
        <v>19.108554858863599</v>
      </c>
      <c r="T218" s="1">
        <v>19.860432103845042</v>
      </c>
      <c r="U218" s="14">
        <v>0.75187724498144348</v>
      </c>
    </row>
    <row r="219" spans="17:21" x14ac:dyDescent="0.2">
      <c r="Q219" s="23">
        <v>218</v>
      </c>
      <c r="R219" s="9">
        <v>144.0559137310068</v>
      </c>
      <c r="S219" s="1">
        <v>44.055917731006716</v>
      </c>
      <c r="T219" s="1">
        <v>44.375703268974945</v>
      </c>
      <c r="U219" s="14">
        <v>0.31978553796822951</v>
      </c>
    </row>
    <row r="220" spans="17:21" x14ac:dyDescent="0.2">
      <c r="Q220" s="23">
        <v>219</v>
      </c>
      <c r="R220" s="9">
        <v>97.116014219018922</v>
      </c>
      <c r="S220" s="1">
        <v>0</v>
      </c>
      <c r="T220" s="1">
        <v>0.82662917164876148</v>
      </c>
      <c r="U220" s="14">
        <v>0.82662917164876148</v>
      </c>
    </row>
    <row r="221" spans="17:21" x14ac:dyDescent="0.2">
      <c r="Q221" s="23">
        <v>220</v>
      </c>
      <c r="R221" s="9">
        <v>88.364654396994112</v>
      </c>
      <c r="S221" s="1">
        <v>0</v>
      </c>
      <c r="T221" s="1">
        <v>-2.7317348729232194E-2</v>
      </c>
      <c r="U221" s="14">
        <v>-2.7317348729232194E-2</v>
      </c>
    </row>
    <row r="222" spans="17:21" x14ac:dyDescent="0.2">
      <c r="Q222" s="23">
        <v>221</v>
      </c>
      <c r="R222" s="9">
        <v>108.47966048710862</v>
      </c>
      <c r="S222" s="1">
        <v>8.4796644871085363</v>
      </c>
      <c r="T222" s="1">
        <v>8.8858257261754687</v>
      </c>
      <c r="U222" s="14">
        <v>0.40616123906693247</v>
      </c>
    </row>
    <row r="223" spans="17:21" x14ac:dyDescent="0.2">
      <c r="Q223" s="23">
        <v>222</v>
      </c>
      <c r="R223" s="9">
        <v>107.21217902595343</v>
      </c>
      <c r="S223" s="1">
        <v>7.212183025953351</v>
      </c>
      <c r="T223" s="1">
        <v>9.4157261166270416</v>
      </c>
      <c r="U223" s="14">
        <v>2.2035430906736906</v>
      </c>
    </row>
    <row r="224" spans="17:21" x14ac:dyDescent="0.2">
      <c r="Q224" s="23">
        <v>223</v>
      </c>
      <c r="R224" s="9">
        <v>101.78771103425474</v>
      </c>
      <c r="S224" s="1">
        <v>1.7877150342546599</v>
      </c>
      <c r="T224" s="1">
        <v>2.6703910972040461</v>
      </c>
      <c r="U224" s="14">
        <v>0.88267606294938616</v>
      </c>
    </row>
    <row r="225" spans="17:21" x14ac:dyDescent="0.2">
      <c r="Q225" s="23">
        <v>224</v>
      </c>
      <c r="R225" s="9">
        <v>92.508497149060958</v>
      </c>
      <c r="S225" s="1">
        <v>0</v>
      </c>
      <c r="T225" s="1">
        <v>0.48554579759992067</v>
      </c>
      <c r="U225" s="14">
        <v>0.48554579759992067</v>
      </c>
    </row>
    <row r="226" spans="17:21" x14ac:dyDescent="0.2">
      <c r="Q226" s="23">
        <v>225</v>
      </c>
      <c r="R226" s="9">
        <v>74.749909601751853</v>
      </c>
      <c r="S226" s="1">
        <v>0</v>
      </c>
      <c r="T226" s="1">
        <v>-0.26303853978587582</v>
      </c>
      <c r="U226" s="14">
        <v>-0.26303853978587582</v>
      </c>
    </row>
    <row r="227" spans="17:21" x14ac:dyDescent="0.2">
      <c r="Q227" s="23">
        <v>226</v>
      </c>
      <c r="R227" s="9">
        <v>86.994316643170876</v>
      </c>
      <c r="S227" s="1">
        <v>0</v>
      </c>
      <c r="T227" s="1">
        <v>-4.1050529809189218E-2</v>
      </c>
      <c r="U227" s="14">
        <v>-4.1050529809189218E-2</v>
      </c>
    </row>
    <row r="228" spans="17:21" x14ac:dyDescent="0.2">
      <c r="Q228" s="23">
        <v>227</v>
      </c>
      <c r="R228" s="9">
        <v>87.6630360255798</v>
      </c>
      <c r="S228" s="1">
        <v>0</v>
      </c>
      <c r="T228" s="1">
        <v>0.74378490561460797</v>
      </c>
      <c r="U228" s="14">
        <v>0.74378490561460797</v>
      </c>
    </row>
    <row r="229" spans="17:21" x14ac:dyDescent="0.2">
      <c r="Q229" s="23">
        <v>228</v>
      </c>
      <c r="R229" s="9">
        <v>78.895498812606803</v>
      </c>
      <c r="S229" s="1">
        <v>0</v>
      </c>
      <c r="T229" s="1">
        <v>0.69237178068365646</v>
      </c>
      <c r="U229" s="14">
        <v>0.69237178068365646</v>
      </c>
    </row>
    <row r="230" spans="17:21" x14ac:dyDescent="0.2">
      <c r="Q230" s="23">
        <v>229</v>
      </c>
      <c r="R230" s="9">
        <v>117.47698030536905</v>
      </c>
      <c r="S230" s="1">
        <v>17.476984305368973</v>
      </c>
      <c r="T230" s="1">
        <v>17.272529391369517</v>
      </c>
      <c r="U230" s="14">
        <v>-0.20445491399945581</v>
      </c>
    </row>
    <row r="231" spans="17:21" x14ac:dyDescent="0.2">
      <c r="Q231" s="23">
        <v>230</v>
      </c>
      <c r="R231" s="9">
        <v>102.77916629158506</v>
      </c>
      <c r="S231" s="1">
        <v>2.7791702915849754</v>
      </c>
      <c r="T231" s="1">
        <v>5.6718053474169636</v>
      </c>
      <c r="U231" s="14">
        <v>2.8926350558319882</v>
      </c>
    </row>
    <row r="232" spans="17:21" x14ac:dyDescent="0.2">
      <c r="Q232" s="23">
        <v>231</v>
      </c>
      <c r="R232" s="9">
        <v>120.7360174986094</v>
      </c>
      <c r="S232" s="1">
        <v>20.736021498609318</v>
      </c>
      <c r="T232" s="1">
        <v>19.903324781663343</v>
      </c>
      <c r="U232" s="14">
        <v>-0.83269671694597491</v>
      </c>
    </row>
    <row r="233" spans="17:21" x14ac:dyDescent="0.2">
      <c r="Q233" s="23">
        <v>232</v>
      </c>
      <c r="R233" s="9">
        <v>82.253334192584475</v>
      </c>
      <c r="S233" s="1">
        <v>0</v>
      </c>
      <c r="T233" s="1">
        <v>-0.38765578589529404</v>
      </c>
      <c r="U233" s="14">
        <v>-0.38765578589529404</v>
      </c>
    </row>
    <row r="234" spans="17:21" x14ac:dyDescent="0.2">
      <c r="Q234" s="23">
        <v>233</v>
      </c>
      <c r="R234" s="9">
        <v>96.817965989461882</v>
      </c>
      <c r="S234" s="1">
        <v>0</v>
      </c>
      <c r="T234" s="1">
        <v>2.9863729213453638</v>
      </c>
      <c r="U234" s="14">
        <v>2.9863729213453638</v>
      </c>
    </row>
    <row r="235" spans="17:21" x14ac:dyDescent="0.2">
      <c r="Q235" s="23">
        <v>234</v>
      </c>
      <c r="R235" s="9">
        <v>78.665066810877619</v>
      </c>
      <c r="S235" s="1">
        <v>0</v>
      </c>
      <c r="T235" s="1">
        <v>-0.80944425270932807</v>
      </c>
      <c r="U235" s="14">
        <v>-0.80944425270932807</v>
      </c>
    </row>
    <row r="236" spans="17:21" x14ac:dyDescent="0.2">
      <c r="Q236" s="23">
        <v>235</v>
      </c>
      <c r="R236" s="9">
        <v>91.323623403173968</v>
      </c>
      <c r="S236" s="1">
        <v>0</v>
      </c>
      <c r="T236" s="1">
        <v>5.7098604441818204E-2</v>
      </c>
      <c r="U236" s="14">
        <v>5.7098604441818204E-2</v>
      </c>
    </row>
    <row r="237" spans="17:21" x14ac:dyDescent="0.2">
      <c r="Q237" s="23">
        <v>236</v>
      </c>
      <c r="R237" s="9">
        <v>149.87293147484453</v>
      </c>
      <c r="S237" s="1">
        <v>49.872935474844454</v>
      </c>
      <c r="T237" s="1">
        <v>47.755992168105621</v>
      </c>
      <c r="U237" s="14">
        <v>-2.1169433067388326</v>
      </c>
    </row>
    <row r="238" spans="17:21" x14ac:dyDescent="0.2">
      <c r="Q238" s="23">
        <v>237</v>
      </c>
      <c r="R238" s="9">
        <v>81.989871046456713</v>
      </c>
      <c r="S238" s="1">
        <v>0</v>
      </c>
      <c r="T238" s="1">
        <v>1.0848047810017973</v>
      </c>
      <c r="U238" s="14">
        <v>1.0848047810017973</v>
      </c>
    </row>
    <row r="239" spans="17:21" x14ac:dyDescent="0.2">
      <c r="Q239" s="23">
        <v>238</v>
      </c>
      <c r="R239" s="9">
        <v>103.9387824318854</v>
      </c>
      <c r="S239" s="1">
        <v>3.938786431885319</v>
      </c>
      <c r="T239" s="1">
        <v>6.314603424536628</v>
      </c>
      <c r="U239" s="14">
        <v>2.3758169926513091</v>
      </c>
    </row>
    <row r="240" spans="17:21" x14ac:dyDescent="0.2">
      <c r="Q240" s="23">
        <v>239</v>
      </c>
      <c r="R240" s="9">
        <v>96.685715102285641</v>
      </c>
      <c r="S240" s="1">
        <v>0</v>
      </c>
      <c r="T240" s="1">
        <v>2.0239848810938899</v>
      </c>
      <c r="U240" s="14">
        <v>2.0239848810938899</v>
      </c>
    </row>
    <row r="241" spans="17:21" x14ac:dyDescent="0.2">
      <c r="Q241" s="23">
        <v>240</v>
      </c>
      <c r="R241" s="9">
        <v>124.12891355499004</v>
      </c>
      <c r="S241" s="1">
        <v>24.128917554989954</v>
      </c>
      <c r="T241" s="1">
        <v>25.062254148849547</v>
      </c>
      <c r="U241" s="14">
        <v>0.93333659385959322</v>
      </c>
    </row>
    <row r="242" spans="17:21" x14ac:dyDescent="0.2">
      <c r="Q242" s="23">
        <v>241</v>
      </c>
      <c r="R242" s="9">
        <v>115.28309472694943</v>
      </c>
      <c r="S242" s="1">
        <v>15.283098726949348</v>
      </c>
      <c r="T242" s="1">
        <v>16.760427548934018</v>
      </c>
      <c r="U242" s="14">
        <v>1.4773288219846705</v>
      </c>
    </row>
    <row r="243" spans="17:21" x14ac:dyDescent="0.2">
      <c r="Q243" s="23">
        <v>242</v>
      </c>
      <c r="R243" s="9">
        <v>109.94217789253469</v>
      </c>
      <c r="S243" s="1">
        <v>9.9421818925346059</v>
      </c>
      <c r="T243" s="1">
        <v>8.4207713183053272</v>
      </c>
      <c r="U243" s="14">
        <v>-1.5214105742292787</v>
      </c>
    </row>
    <row r="244" spans="17:21" x14ac:dyDescent="0.2">
      <c r="Q244" s="23">
        <v>243</v>
      </c>
      <c r="R244" s="9">
        <v>80.265855450795058</v>
      </c>
      <c r="S244" s="1">
        <v>0</v>
      </c>
      <c r="T244" s="1">
        <v>4.5542823577644262E-2</v>
      </c>
      <c r="U244" s="14">
        <v>4.5542823577644262E-2</v>
      </c>
    </row>
    <row r="245" spans="17:21" x14ac:dyDescent="0.2">
      <c r="Q245" s="23">
        <v>244</v>
      </c>
      <c r="R245" s="9">
        <v>119.76908366565581</v>
      </c>
      <c r="S245" s="1">
        <v>19.769087665655732</v>
      </c>
      <c r="T245" s="1">
        <v>20.568025293834097</v>
      </c>
      <c r="U245" s="14">
        <v>0.79893762817836489</v>
      </c>
    </row>
    <row r="246" spans="17:21" x14ac:dyDescent="0.2">
      <c r="Q246" s="23">
        <v>245</v>
      </c>
      <c r="R246" s="9">
        <v>113.3576164732235</v>
      </c>
      <c r="S246" s="1">
        <v>13.35762047322342</v>
      </c>
      <c r="T246" s="1">
        <v>14.557408979876499</v>
      </c>
      <c r="U246" s="14">
        <v>1.1997885066530785</v>
      </c>
    </row>
    <row r="247" spans="17:21" x14ac:dyDescent="0.2">
      <c r="Q247" s="23">
        <v>246</v>
      </c>
      <c r="R247" s="9">
        <v>142.84740258275656</v>
      </c>
      <c r="S247" s="1">
        <v>42.847406582756477</v>
      </c>
      <c r="T247" s="1">
        <v>42.617165874164712</v>
      </c>
      <c r="U247" s="14">
        <v>-0.23024070859176504</v>
      </c>
    </row>
    <row r="248" spans="17:21" x14ac:dyDescent="0.2">
      <c r="Q248" s="23">
        <v>247</v>
      </c>
      <c r="R248" s="9">
        <v>112.24066098322523</v>
      </c>
      <c r="S248" s="1">
        <v>12.240664983225145</v>
      </c>
      <c r="T248" s="1">
        <v>11.482349594088319</v>
      </c>
      <c r="U248" s="14">
        <v>-0.7583153891368255</v>
      </c>
    </row>
    <row r="249" spans="17:21" x14ac:dyDescent="0.2">
      <c r="Q249" s="23">
        <v>248</v>
      </c>
      <c r="R249" s="9">
        <v>129.90300627352951</v>
      </c>
      <c r="S249" s="1">
        <v>29.903010273529432</v>
      </c>
      <c r="T249" s="1">
        <v>30.776186419850632</v>
      </c>
      <c r="U249" s="14">
        <v>0.87317614632119955</v>
      </c>
    </row>
    <row r="250" spans="17:21" x14ac:dyDescent="0.2">
      <c r="Q250" s="23">
        <v>249</v>
      </c>
      <c r="R250" s="9">
        <v>125.76019067785516</v>
      </c>
      <c r="S250" s="1">
        <v>25.760194677855083</v>
      </c>
      <c r="T250" s="1">
        <v>23.765876191854801</v>
      </c>
      <c r="U250" s="14">
        <v>-1.9943184860002816</v>
      </c>
    </row>
    <row r="251" spans="17:21" x14ac:dyDescent="0.2">
      <c r="Q251" s="23">
        <v>250</v>
      </c>
      <c r="R251" s="9">
        <v>139.88279903507981</v>
      </c>
      <c r="S251" s="1">
        <v>39.882803035079732</v>
      </c>
      <c r="T251" s="1">
        <v>39.979632488978751</v>
      </c>
      <c r="U251" s="14">
        <v>9.6829453899019313E-2</v>
      </c>
    </row>
    <row r="252" spans="17:21" x14ac:dyDescent="0.2">
      <c r="Q252" s="23">
        <v>251</v>
      </c>
      <c r="R252" s="9">
        <v>112.33838281949328</v>
      </c>
      <c r="S252" s="1">
        <v>12.338386819493195</v>
      </c>
      <c r="T252" s="1">
        <v>10.759948844771159</v>
      </c>
      <c r="U252" s="14">
        <v>-1.5784379747220356</v>
      </c>
    </row>
    <row r="253" spans="17:21" x14ac:dyDescent="0.2">
      <c r="Q253" s="23">
        <v>252</v>
      </c>
      <c r="R253" s="9">
        <v>97.522037914410944</v>
      </c>
      <c r="S253" s="1">
        <v>0</v>
      </c>
      <c r="T253" s="1">
        <v>2.0546200575259093</v>
      </c>
      <c r="U253" s="14">
        <v>2.0546200575259093</v>
      </c>
    </row>
    <row r="254" spans="17:21" x14ac:dyDescent="0.2">
      <c r="Q254" s="23">
        <v>253</v>
      </c>
      <c r="R254" s="9">
        <v>93.91484231364538</v>
      </c>
      <c r="S254" s="1">
        <v>0</v>
      </c>
      <c r="T254" s="1">
        <v>-0.83960929177488453</v>
      </c>
      <c r="U254" s="14">
        <v>-0.83960929177488453</v>
      </c>
    </row>
    <row r="255" spans="17:21" x14ac:dyDescent="0.2">
      <c r="Q255" s="23">
        <v>254</v>
      </c>
      <c r="R255" s="9">
        <v>115.22198339463893</v>
      </c>
      <c r="S255" s="1">
        <v>15.221987394638845</v>
      </c>
      <c r="T255" s="1">
        <v>14.795930467534092</v>
      </c>
      <c r="U255" s="14">
        <v>-0.42605692710475296</v>
      </c>
    </row>
    <row r="256" spans="17:21" x14ac:dyDescent="0.2">
      <c r="Q256" s="23">
        <v>255</v>
      </c>
      <c r="R256" s="9">
        <v>148.55369016427031</v>
      </c>
      <c r="S256" s="1">
        <v>48.553694164270226</v>
      </c>
      <c r="T256" s="1">
        <v>48.403887720632284</v>
      </c>
      <c r="U256" s="14">
        <v>-0.14980644363794227</v>
      </c>
    </row>
    <row r="257" spans="17:21" x14ac:dyDescent="0.2">
      <c r="Q257" s="23">
        <v>256</v>
      </c>
      <c r="R257" s="9">
        <v>57.316358085604044</v>
      </c>
      <c r="S257" s="1">
        <v>0</v>
      </c>
      <c r="T257" s="1">
        <v>-0.47248853370648475</v>
      </c>
      <c r="U257" s="14">
        <v>-0.47248853370648475</v>
      </c>
    </row>
    <row r="258" spans="17:21" x14ac:dyDescent="0.2">
      <c r="Q258" s="23">
        <v>257</v>
      </c>
      <c r="R258" s="9">
        <v>116.25924311795325</v>
      </c>
      <c r="S258" s="1">
        <v>16.259247117953166</v>
      </c>
      <c r="T258" s="1">
        <v>16.673510368134615</v>
      </c>
      <c r="U258" s="14">
        <v>0.41426325018144894</v>
      </c>
    </row>
    <row r="259" spans="17:21" x14ac:dyDescent="0.2">
      <c r="Q259" s="23">
        <v>258</v>
      </c>
      <c r="R259" s="9">
        <v>73.21645783465884</v>
      </c>
      <c r="S259" s="1">
        <v>0</v>
      </c>
      <c r="T259" s="1">
        <v>-0.73081402350340441</v>
      </c>
      <c r="U259" s="14">
        <v>-0.73081402350340441</v>
      </c>
    </row>
    <row r="260" spans="17:21" x14ac:dyDescent="0.2">
      <c r="Q260" s="23">
        <v>259</v>
      </c>
      <c r="R260" s="9">
        <v>125.33835427393326</v>
      </c>
      <c r="S260" s="1">
        <v>25.338358273933181</v>
      </c>
      <c r="T260" s="1">
        <v>25.8878318597733</v>
      </c>
      <c r="U260" s="14">
        <v>0.54947358584011852</v>
      </c>
    </row>
    <row r="261" spans="17:21" x14ac:dyDescent="0.2">
      <c r="Q261" s="23">
        <v>260</v>
      </c>
      <c r="R261" s="9">
        <v>94.406831618048741</v>
      </c>
      <c r="S261" s="1">
        <v>0</v>
      </c>
      <c r="T261" s="1">
        <v>0.84880760095181262</v>
      </c>
      <c r="U261" s="14">
        <v>0.84880760095181262</v>
      </c>
    </row>
    <row r="262" spans="17:21" x14ac:dyDescent="0.2">
      <c r="Q262" s="23">
        <v>261</v>
      </c>
      <c r="R262" s="9">
        <v>131.55439244676677</v>
      </c>
      <c r="S262" s="1">
        <v>31.554396446766688</v>
      </c>
      <c r="T262" s="1">
        <v>30.092014157358349</v>
      </c>
      <c r="U262" s="14">
        <v>-1.4623822894083389</v>
      </c>
    </row>
    <row r="263" spans="17:21" x14ac:dyDescent="0.2">
      <c r="Q263" s="23">
        <v>262</v>
      </c>
      <c r="R263" s="9">
        <v>131.15322042185321</v>
      </c>
      <c r="S263" s="1">
        <v>31.153224421853125</v>
      </c>
      <c r="T263" s="1">
        <v>31.943268462843022</v>
      </c>
      <c r="U263" s="14">
        <v>0.79004404098989767</v>
      </c>
    </row>
    <row r="264" spans="17:21" x14ac:dyDescent="0.2">
      <c r="Q264" s="23">
        <v>263</v>
      </c>
      <c r="R264" s="9">
        <v>90.364203277817992</v>
      </c>
      <c r="S264" s="1">
        <v>0</v>
      </c>
      <c r="T264" s="1">
        <v>0.90010037376352436</v>
      </c>
      <c r="U264" s="14">
        <v>0.90010037376352436</v>
      </c>
    </row>
    <row r="265" spans="17:21" x14ac:dyDescent="0.2">
      <c r="Q265" s="23">
        <v>264</v>
      </c>
      <c r="R265" s="9">
        <v>122.96512772318188</v>
      </c>
      <c r="S265" s="1">
        <v>22.965131723181798</v>
      </c>
      <c r="T265" s="1">
        <v>23.226323390816205</v>
      </c>
      <c r="U265" s="14">
        <v>0.2611916676344066</v>
      </c>
    </row>
    <row r="266" spans="17:21" x14ac:dyDescent="0.2">
      <c r="Q266" s="23">
        <v>265</v>
      </c>
      <c r="R266" s="9">
        <v>83.802906964067986</v>
      </c>
      <c r="S266" s="1">
        <v>0</v>
      </c>
      <c r="T266" s="1">
        <v>-2.0480986382329354</v>
      </c>
      <c r="U266" s="14">
        <v>-2.0480986382329354</v>
      </c>
    </row>
    <row r="267" spans="17:21" x14ac:dyDescent="0.2">
      <c r="Q267" s="23">
        <v>266</v>
      </c>
      <c r="R267" s="9">
        <v>93.724741723621207</v>
      </c>
      <c r="S267" s="1">
        <v>0</v>
      </c>
      <c r="T267" s="1">
        <v>4.4093467222952043E-2</v>
      </c>
      <c r="U267" s="14">
        <v>4.4093467222952043E-2</v>
      </c>
    </row>
    <row r="268" spans="17:21" x14ac:dyDescent="0.2">
      <c r="Q268" s="23">
        <v>267</v>
      </c>
      <c r="R268" s="9">
        <v>66.139256296783998</v>
      </c>
      <c r="S268" s="1">
        <v>0</v>
      </c>
      <c r="T268" s="1">
        <v>1.6374688474057413</v>
      </c>
      <c r="U268" s="14">
        <v>1.6374688474057413</v>
      </c>
    </row>
    <row r="269" spans="17:21" x14ac:dyDescent="0.2">
      <c r="Q269" s="23">
        <v>268</v>
      </c>
      <c r="R269" s="9">
        <v>82.060428293622763</v>
      </c>
      <c r="S269" s="1">
        <v>0</v>
      </c>
      <c r="T269" s="1">
        <v>-1.4043296113276653</v>
      </c>
      <c r="U269" s="14">
        <v>-1.4043296113276653</v>
      </c>
    </row>
    <row r="270" spans="17:21" x14ac:dyDescent="0.2">
      <c r="Q270" s="23">
        <v>269</v>
      </c>
      <c r="R270" s="9">
        <v>82.725573926149764</v>
      </c>
      <c r="S270" s="1">
        <v>0</v>
      </c>
      <c r="T270" s="1">
        <v>-0.58775793607462123</v>
      </c>
      <c r="U270" s="14">
        <v>-0.58775793607462123</v>
      </c>
    </row>
    <row r="271" spans="17:21" x14ac:dyDescent="0.2">
      <c r="Q271" s="23">
        <v>270</v>
      </c>
      <c r="R271" s="9">
        <v>120.53348326135433</v>
      </c>
      <c r="S271" s="1">
        <v>20.533487261354253</v>
      </c>
      <c r="T271" s="1">
        <v>19.750218536669109</v>
      </c>
      <c r="U271" s="14">
        <v>-0.78326872468514352</v>
      </c>
    </row>
    <row r="272" spans="17:21" x14ac:dyDescent="0.2">
      <c r="Q272" s="23">
        <v>271</v>
      </c>
      <c r="R272" s="9">
        <v>100.84682086622809</v>
      </c>
      <c r="S272" s="1">
        <v>0.84682486622800468</v>
      </c>
      <c r="T272" s="1">
        <v>4.1105796033250783</v>
      </c>
      <c r="U272" s="14">
        <v>3.2637547370970736</v>
      </c>
    </row>
    <row r="273" spans="17:21" x14ac:dyDescent="0.2">
      <c r="Q273" s="23">
        <v>272</v>
      </c>
      <c r="R273" s="9">
        <v>113.98751565568779</v>
      </c>
      <c r="S273" s="1">
        <v>13.987519655687706</v>
      </c>
      <c r="T273" s="1">
        <v>13.040118210612235</v>
      </c>
      <c r="U273" s="14">
        <v>-0.94740144507547086</v>
      </c>
    </row>
    <row r="274" spans="17:21" x14ac:dyDescent="0.2">
      <c r="Q274" s="23">
        <v>273</v>
      </c>
      <c r="R274" s="9">
        <v>104.19546148256939</v>
      </c>
      <c r="S274" s="1">
        <v>4.1954654825693041</v>
      </c>
      <c r="T274" s="1">
        <v>5.0466830204622539</v>
      </c>
      <c r="U274" s="14">
        <v>0.85121753789294985</v>
      </c>
    </row>
    <row r="275" spans="17:21" x14ac:dyDescent="0.2">
      <c r="Q275" s="23">
        <v>274</v>
      </c>
      <c r="R275" s="9">
        <v>80.56303998198905</v>
      </c>
      <c r="S275" s="1">
        <v>0</v>
      </c>
      <c r="T275" s="1">
        <v>1.1589367343216843</v>
      </c>
      <c r="U275" s="14">
        <v>1.1589367343216843</v>
      </c>
    </row>
    <row r="276" spans="17:21" x14ac:dyDescent="0.2">
      <c r="Q276" s="23">
        <v>275</v>
      </c>
      <c r="R276" s="9">
        <v>91.064239704622679</v>
      </c>
      <c r="S276" s="1">
        <v>0</v>
      </c>
      <c r="T276" s="1">
        <v>-1.1391051843669793</v>
      </c>
      <c r="U276" s="14">
        <v>-1.1391051843669793</v>
      </c>
    </row>
    <row r="277" spans="17:21" x14ac:dyDescent="0.2">
      <c r="Q277" s="23">
        <v>276</v>
      </c>
      <c r="R277" s="9">
        <v>125.07759631834277</v>
      </c>
      <c r="S277" s="1">
        <v>25.077600318342689</v>
      </c>
      <c r="T277" s="1">
        <v>22.915645589442292</v>
      </c>
      <c r="U277" s="14">
        <v>-2.1619547289003975</v>
      </c>
    </row>
    <row r="278" spans="17:21" x14ac:dyDescent="0.2">
      <c r="Q278" s="23">
        <v>277</v>
      </c>
      <c r="R278" s="9">
        <v>126.65309516949328</v>
      </c>
      <c r="S278" s="1">
        <v>26.653099169493203</v>
      </c>
      <c r="T278" s="1">
        <v>26.919762588643252</v>
      </c>
      <c r="U278" s="14">
        <v>0.26666341915004921</v>
      </c>
    </row>
    <row r="279" spans="17:21" x14ac:dyDescent="0.2">
      <c r="Q279" s="23">
        <v>278</v>
      </c>
      <c r="R279" s="9">
        <v>75.054293958703909</v>
      </c>
      <c r="S279" s="1">
        <v>0</v>
      </c>
      <c r="T279" s="1">
        <v>0.57183889300196733</v>
      </c>
      <c r="U279" s="14">
        <v>0.57183889300196733</v>
      </c>
    </row>
    <row r="280" spans="17:21" x14ac:dyDescent="0.2">
      <c r="Q280" s="23">
        <v>279</v>
      </c>
      <c r="R280" s="9">
        <v>83.903315822832354</v>
      </c>
      <c r="S280" s="1">
        <v>0</v>
      </c>
      <c r="T280" s="1">
        <v>-0.20057247058537314</v>
      </c>
      <c r="U280" s="14">
        <v>-0.20057247058537314</v>
      </c>
    </row>
    <row r="281" spans="17:21" x14ac:dyDescent="0.2">
      <c r="Q281" s="23">
        <v>280</v>
      </c>
      <c r="R281" s="9">
        <v>120.94057386265477</v>
      </c>
      <c r="S281" s="1">
        <v>20.940577862654692</v>
      </c>
      <c r="T281" s="1">
        <v>22.539307613233547</v>
      </c>
      <c r="U281" s="14">
        <v>1.5987297505788547</v>
      </c>
    </row>
    <row r="282" spans="17:21" x14ac:dyDescent="0.2">
      <c r="Q282" s="23">
        <v>281</v>
      </c>
      <c r="R282" s="9">
        <v>86.497021245577997</v>
      </c>
      <c r="S282" s="1">
        <v>0</v>
      </c>
      <c r="T282" s="1">
        <v>-1.3344746398225709</v>
      </c>
      <c r="U282" s="14">
        <v>-1.3344746398225709</v>
      </c>
    </row>
    <row r="283" spans="17:21" x14ac:dyDescent="0.2">
      <c r="Q283" s="23">
        <v>282</v>
      </c>
      <c r="R283" s="9">
        <v>92.937361484661309</v>
      </c>
      <c r="S283" s="1">
        <v>0</v>
      </c>
      <c r="T283" s="1">
        <v>-0.47957863438057302</v>
      </c>
      <c r="U283" s="14">
        <v>-0.47957863438057302</v>
      </c>
    </row>
    <row r="284" spans="17:21" x14ac:dyDescent="0.2">
      <c r="Q284" s="23">
        <v>283</v>
      </c>
      <c r="R284" s="9">
        <v>91.556961489221692</v>
      </c>
      <c r="S284" s="1">
        <v>0</v>
      </c>
      <c r="T284" s="1">
        <v>-1.0975600585113092</v>
      </c>
      <c r="U284" s="14">
        <v>-1.0975600585113092</v>
      </c>
    </row>
    <row r="285" spans="17:21" x14ac:dyDescent="0.2">
      <c r="Q285" s="23">
        <v>284</v>
      </c>
      <c r="R285" s="9">
        <v>98.302545049031821</v>
      </c>
      <c r="S285" s="1">
        <v>0</v>
      </c>
      <c r="T285" s="1">
        <v>2.459074713438441</v>
      </c>
      <c r="U285" s="14">
        <v>2.459074713438441</v>
      </c>
    </row>
    <row r="286" spans="17:21" x14ac:dyDescent="0.2">
      <c r="Q286" s="23">
        <v>285</v>
      </c>
      <c r="R286" s="9">
        <v>78.621727231652187</v>
      </c>
      <c r="S286" s="1">
        <v>0</v>
      </c>
      <c r="T286" s="1">
        <v>-2.1626902695506596</v>
      </c>
      <c r="U286" s="14">
        <v>-2.1626902695506596</v>
      </c>
    </row>
    <row r="287" spans="17:21" x14ac:dyDescent="0.2">
      <c r="Q287" s="23">
        <v>286</v>
      </c>
      <c r="R287" s="9">
        <v>98.859772343632088</v>
      </c>
      <c r="S287" s="1">
        <v>0</v>
      </c>
      <c r="T287" s="1">
        <v>-4.7034380036834023E-2</v>
      </c>
      <c r="U287" s="14">
        <v>-4.7034380036834023E-2</v>
      </c>
    </row>
    <row r="288" spans="17:21" x14ac:dyDescent="0.2">
      <c r="Q288" s="23">
        <v>287</v>
      </c>
      <c r="R288" s="9">
        <v>107.5220543928336</v>
      </c>
      <c r="S288" s="1">
        <v>7.5220583928335145</v>
      </c>
      <c r="T288" s="1">
        <v>7.3298779633689009</v>
      </c>
      <c r="U288" s="14">
        <v>-0.19218042946461367</v>
      </c>
    </row>
    <row r="289" spans="17:21" x14ac:dyDescent="0.2">
      <c r="Q289" s="23">
        <v>288</v>
      </c>
      <c r="R289" s="9">
        <v>117.92418071751537</v>
      </c>
      <c r="S289" s="1">
        <v>17.924184717515288</v>
      </c>
      <c r="T289" s="1">
        <v>18.486831473188531</v>
      </c>
      <c r="U289" s="14">
        <v>0.56264675567324218</v>
      </c>
    </row>
    <row r="290" spans="17:21" x14ac:dyDescent="0.2">
      <c r="Q290" s="23">
        <v>289</v>
      </c>
      <c r="R290" s="9">
        <v>76.068597144436126</v>
      </c>
      <c r="S290" s="1">
        <v>0</v>
      </c>
      <c r="T290" s="1">
        <v>-0.49063227684613475</v>
      </c>
      <c r="U290" s="14">
        <v>-0.49063227684613475</v>
      </c>
    </row>
    <row r="291" spans="17:21" x14ac:dyDescent="0.2">
      <c r="Q291" s="23">
        <v>290</v>
      </c>
      <c r="R291" s="9">
        <v>91.727604289689779</v>
      </c>
      <c r="S291" s="1">
        <v>0</v>
      </c>
      <c r="T291" s="1">
        <v>1.5309755982050786</v>
      </c>
      <c r="U291" s="14">
        <v>1.5309755982050786</v>
      </c>
    </row>
    <row r="292" spans="17:21" x14ac:dyDescent="0.2">
      <c r="Q292" s="23">
        <v>291</v>
      </c>
      <c r="R292" s="9">
        <v>132.4819923758503</v>
      </c>
      <c r="S292" s="1">
        <v>32.481996375850215</v>
      </c>
      <c r="T292" s="1">
        <v>32.429899894506676</v>
      </c>
      <c r="U292" s="14">
        <v>-5.2096481343539836E-2</v>
      </c>
    </row>
    <row r="293" spans="17:21" x14ac:dyDescent="0.2">
      <c r="Q293" s="23">
        <v>292</v>
      </c>
      <c r="R293" s="9">
        <v>65.749787924848164</v>
      </c>
      <c r="S293" s="1">
        <v>0</v>
      </c>
      <c r="T293" s="1">
        <v>-0.70733308386102456</v>
      </c>
      <c r="U293" s="14">
        <v>-0.70733308386102456</v>
      </c>
    </row>
    <row r="294" spans="17:21" x14ac:dyDescent="0.2">
      <c r="Q294" s="23">
        <v>293</v>
      </c>
      <c r="R294" s="9">
        <v>110.18701668511966</v>
      </c>
      <c r="S294" s="1">
        <v>10.187020685119577</v>
      </c>
      <c r="T294" s="1">
        <v>11.691063706115941</v>
      </c>
      <c r="U294" s="14">
        <v>1.5040430209963631</v>
      </c>
    </row>
    <row r="295" spans="17:21" x14ac:dyDescent="0.2">
      <c r="Q295" s="23">
        <v>294</v>
      </c>
      <c r="R295" s="9">
        <v>120.61284549818846</v>
      </c>
      <c r="S295" s="1">
        <v>20.612849498188382</v>
      </c>
      <c r="T295" s="1">
        <v>21.799692291771208</v>
      </c>
      <c r="U295" s="14">
        <v>1.1868427935828265</v>
      </c>
    </row>
    <row r="296" spans="17:21" x14ac:dyDescent="0.2">
      <c r="Q296" s="23">
        <v>295</v>
      </c>
      <c r="R296" s="9">
        <v>129.8430248627956</v>
      </c>
      <c r="S296" s="1">
        <v>29.843028862795521</v>
      </c>
      <c r="T296" s="1">
        <v>28.318705141647953</v>
      </c>
      <c r="U296" s="14">
        <v>-1.5243237211475673</v>
      </c>
    </row>
    <row r="297" spans="17:21" x14ac:dyDescent="0.2">
      <c r="Q297" s="23">
        <v>296</v>
      </c>
      <c r="R297" s="9">
        <v>115.64790351452841</v>
      </c>
      <c r="S297" s="1">
        <v>15.647907514528328</v>
      </c>
      <c r="T297" s="1">
        <v>14.846089754346536</v>
      </c>
      <c r="U297" s="14">
        <v>-0.80181776018179107</v>
      </c>
    </row>
    <row r="298" spans="17:21" x14ac:dyDescent="0.2">
      <c r="Q298" s="23">
        <v>297</v>
      </c>
      <c r="R298" s="9">
        <v>112.26393497270618</v>
      </c>
      <c r="S298" s="1">
        <v>12.2639389727061</v>
      </c>
      <c r="T298" s="1">
        <v>11.782928638072008</v>
      </c>
      <c r="U298" s="14">
        <v>-0.48101033463409237</v>
      </c>
    </row>
    <row r="299" spans="17:21" x14ac:dyDescent="0.2">
      <c r="Q299" s="23">
        <v>298</v>
      </c>
      <c r="R299" s="9">
        <v>71.90556323383737</v>
      </c>
      <c r="S299" s="1">
        <v>0</v>
      </c>
      <c r="T299" s="1">
        <v>-0.91072863099002821</v>
      </c>
      <c r="U299" s="14">
        <v>-0.91072863099002821</v>
      </c>
    </row>
    <row r="300" spans="17:21" x14ac:dyDescent="0.2">
      <c r="Q300" s="23">
        <v>299</v>
      </c>
      <c r="R300" s="9">
        <v>91.867424046575962</v>
      </c>
      <c r="S300" s="1">
        <v>0</v>
      </c>
      <c r="T300" s="1">
        <v>9.9870326823506161E-2</v>
      </c>
      <c r="U300" s="14">
        <v>9.9870326823506161E-2</v>
      </c>
    </row>
    <row r="301" spans="17:21" x14ac:dyDescent="0.2">
      <c r="Q301" s="23">
        <v>300</v>
      </c>
      <c r="R301" s="9">
        <v>146.21749382118722</v>
      </c>
      <c r="S301" s="1">
        <v>46.217497821187138</v>
      </c>
      <c r="T301" s="1">
        <v>43.902676354112401</v>
      </c>
      <c r="U301" s="14">
        <v>-2.3148214670747365</v>
      </c>
    </row>
    <row r="302" spans="17:21" x14ac:dyDescent="0.2">
      <c r="Q302" s="23">
        <v>301</v>
      </c>
      <c r="R302" s="9">
        <v>91.892538837223583</v>
      </c>
      <c r="S302" s="1">
        <v>0</v>
      </c>
      <c r="T302" s="1">
        <v>-0.83511543589125248</v>
      </c>
      <c r="U302" s="14">
        <v>-0.83511543589125248</v>
      </c>
    </row>
    <row r="303" spans="17:21" x14ac:dyDescent="0.2">
      <c r="Q303" s="23">
        <v>302</v>
      </c>
      <c r="R303" s="9">
        <v>80.275008080630712</v>
      </c>
      <c r="S303" s="1">
        <v>0</v>
      </c>
      <c r="T303" s="1">
        <v>-1.0366984226878715</v>
      </c>
      <c r="U303" s="14">
        <v>-1.0366984226878715</v>
      </c>
    </row>
    <row r="304" spans="17:21" x14ac:dyDescent="0.2">
      <c r="Q304" s="23">
        <v>303</v>
      </c>
      <c r="R304" s="9">
        <v>97.510029866088317</v>
      </c>
      <c r="S304" s="1">
        <v>0</v>
      </c>
      <c r="T304" s="1">
        <v>-3.3818744422944746E-2</v>
      </c>
      <c r="U304" s="14">
        <v>-3.3818744422944746E-2</v>
      </c>
    </row>
    <row r="305" spans="17:21" x14ac:dyDescent="0.2">
      <c r="Q305" s="23">
        <v>304</v>
      </c>
      <c r="R305" s="9">
        <v>84.549616856666276</v>
      </c>
      <c r="S305" s="1">
        <v>0</v>
      </c>
      <c r="T305" s="1">
        <v>0.85678102118561594</v>
      </c>
      <c r="U305" s="14">
        <v>0.85678102118561594</v>
      </c>
    </row>
    <row r="306" spans="17:21" x14ac:dyDescent="0.2">
      <c r="Q306" s="23">
        <v>305</v>
      </c>
      <c r="R306" s="9">
        <v>197.9920548515471</v>
      </c>
      <c r="S306" s="1">
        <v>97.992058851547014</v>
      </c>
      <c r="T306" s="1">
        <v>97.407407445391854</v>
      </c>
      <c r="U306" s="14">
        <v>-0.5846514061551602</v>
      </c>
    </row>
    <row r="307" spans="17:21" x14ac:dyDescent="0.2">
      <c r="Q307" s="23">
        <v>306</v>
      </c>
      <c r="R307" s="9">
        <v>125.33365229253067</v>
      </c>
      <c r="S307" s="1">
        <v>25.333656292530591</v>
      </c>
      <c r="T307" s="1">
        <v>23.525862956868863</v>
      </c>
      <c r="U307" s="14">
        <v>-1.807793335661728</v>
      </c>
    </row>
    <row r="308" spans="17:21" x14ac:dyDescent="0.2">
      <c r="Q308" s="23">
        <v>307</v>
      </c>
      <c r="R308" s="9">
        <v>82.999711105358728</v>
      </c>
      <c r="S308" s="1">
        <v>0</v>
      </c>
      <c r="T308" s="1">
        <v>0.60722955245648058</v>
      </c>
      <c r="U308" s="14">
        <v>0.60722955245648058</v>
      </c>
    </row>
    <row r="309" spans="17:21" x14ac:dyDescent="0.2">
      <c r="Q309" s="23">
        <v>308</v>
      </c>
      <c r="R309" s="9">
        <v>97.441329111780988</v>
      </c>
      <c r="S309" s="1">
        <v>0</v>
      </c>
      <c r="T309" s="1">
        <v>1.0431489261290554</v>
      </c>
      <c r="U309" s="14">
        <v>1.0431489261290554</v>
      </c>
    </row>
    <row r="310" spans="17:21" x14ac:dyDescent="0.2">
      <c r="Q310" s="23">
        <v>309</v>
      </c>
      <c r="R310" s="9">
        <v>83.977467903374489</v>
      </c>
      <c r="S310" s="1">
        <v>0</v>
      </c>
      <c r="T310" s="1">
        <v>-1.2001163956784313</v>
      </c>
      <c r="U310" s="14">
        <v>-1.2001163956784313</v>
      </c>
    </row>
    <row r="311" spans="17:21" x14ac:dyDescent="0.2">
      <c r="Q311" s="23">
        <v>310</v>
      </c>
      <c r="R311" s="9">
        <v>100.74705797703072</v>
      </c>
      <c r="S311" s="1">
        <v>0.74706197703063992</v>
      </c>
      <c r="T311" s="1">
        <v>2.5181490464198788</v>
      </c>
      <c r="U311" s="14">
        <v>1.7710870693892389</v>
      </c>
    </row>
    <row r="312" spans="17:21" x14ac:dyDescent="0.2">
      <c r="Q312" s="23">
        <v>311</v>
      </c>
      <c r="R312" s="9">
        <v>101.79526692208297</v>
      </c>
      <c r="S312" s="1">
        <v>1.7952709220828922</v>
      </c>
      <c r="T312" s="1">
        <v>4.8196735831066917</v>
      </c>
      <c r="U312" s="14">
        <v>3.0244026610237995</v>
      </c>
    </row>
    <row r="313" spans="17:21" x14ac:dyDescent="0.2">
      <c r="Q313" s="23">
        <v>312</v>
      </c>
      <c r="R313" s="9">
        <v>86.002278315381901</v>
      </c>
      <c r="S313" s="1">
        <v>0</v>
      </c>
      <c r="T313" s="1">
        <v>-0.59191965829165083</v>
      </c>
      <c r="U313" s="14">
        <v>-0.59191965829165083</v>
      </c>
    </row>
    <row r="314" spans="17:21" x14ac:dyDescent="0.2">
      <c r="Q314" s="23">
        <v>313</v>
      </c>
      <c r="R314" s="9">
        <v>71.354165205376574</v>
      </c>
      <c r="S314" s="1">
        <v>0</v>
      </c>
      <c r="T314" s="1">
        <v>-0.84020145802469781</v>
      </c>
      <c r="U314" s="14">
        <v>-0.84020145802469781</v>
      </c>
    </row>
    <row r="315" spans="17:21" x14ac:dyDescent="0.2">
      <c r="Q315" s="23">
        <v>314</v>
      </c>
      <c r="R315" s="9">
        <v>126.78230469991867</v>
      </c>
      <c r="S315" s="1">
        <v>26.782308699918588</v>
      </c>
      <c r="T315" s="1">
        <v>24.678694926737464</v>
      </c>
      <c r="U315" s="14">
        <v>-2.1036137731811237</v>
      </c>
    </row>
    <row r="316" spans="17:21" x14ac:dyDescent="0.2">
      <c r="Q316" s="23">
        <v>315</v>
      </c>
      <c r="R316" s="9">
        <v>113.78395182041422</v>
      </c>
      <c r="S316" s="1">
        <v>13.783955820414135</v>
      </c>
      <c r="T316" s="1">
        <v>14.248159091292209</v>
      </c>
      <c r="U316" s="14">
        <v>0.46420327087807323</v>
      </c>
    </row>
    <row r="317" spans="17:21" x14ac:dyDescent="0.2">
      <c r="Q317" s="23">
        <v>316</v>
      </c>
      <c r="R317" s="9">
        <v>112.93629061815973</v>
      </c>
      <c r="S317" s="1">
        <v>12.93629461815965</v>
      </c>
      <c r="T317" s="1">
        <v>10.402171981483974</v>
      </c>
      <c r="U317" s="14">
        <v>-2.5341226366756757</v>
      </c>
    </row>
    <row r="318" spans="17:21" x14ac:dyDescent="0.2">
      <c r="Q318" s="23">
        <v>317</v>
      </c>
      <c r="R318" s="9">
        <v>105.83432020820206</v>
      </c>
      <c r="S318" s="1">
        <v>5.8343242082019771</v>
      </c>
      <c r="T318" s="1">
        <v>7.2626830840217167</v>
      </c>
      <c r="U318" s="14">
        <v>1.4283588758197396</v>
      </c>
    </row>
    <row r="319" spans="17:21" x14ac:dyDescent="0.2">
      <c r="Q319" s="23">
        <v>318</v>
      </c>
      <c r="R319" s="9">
        <v>111.76281530942794</v>
      </c>
      <c r="S319" s="1">
        <v>11.762819309427854</v>
      </c>
      <c r="T319" s="1">
        <v>11.486181169630228</v>
      </c>
      <c r="U319" s="14">
        <v>-0.27663813979762608</v>
      </c>
    </row>
    <row r="320" spans="17:21" x14ac:dyDescent="0.2">
      <c r="Q320" s="23">
        <v>319</v>
      </c>
      <c r="R320" s="9">
        <v>105.77833143507196</v>
      </c>
      <c r="S320" s="1">
        <v>5.778335435071881</v>
      </c>
      <c r="T320" s="1">
        <v>7.5664076615652647</v>
      </c>
      <c r="U320" s="14">
        <v>1.7880722264933837</v>
      </c>
    </row>
    <row r="321" spans="17:21" x14ac:dyDescent="0.2">
      <c r="Q321" s="23">
        <v>320</v>
      </c>
      <c r="R321" s="9">
        <v>94.415008563346433</v>
      </c>
      <c r="S321" s="1">
        <v>0</v>
      </c>
      <c r="T321" s="1">
        <v>-0.22100914797632931</v>
      </c>
      <c r="U321" s="14">
        <v>-0.22100914797632931</v>
      </c>
    </row>
    <row r="322" spans="17:21" x14ac:dyDescent="0.2">
      <c r="Q322" s="23">
        <v>321</v>
      </c>
      <c r="R322" s="9">
        <v>102.64836791452244</v>
      </c>
      <c r="S322" s="1">
        <v>2.6483719145223574</v>
      </c>
      <c r="T322" s="1">
        <v>3.2943718272988463</v>
      </c>
      <c r="U322" s="14">
        <v>0.64599991277648883</v>
      </c>
    </row>
    <row r="323" spans="17:21" x14ac:dyDescent="0.2">
      <c r="Q323" s="23">
        <v>322</v>
      </c>
      <c r="R323" s="9">
        <v>70.096986194953701</v>
      </c>
      <c r="S323" s="1">
        <v>0</v>
      </c>
      <c r="T323" s="1">
        <v>0.47988589806111892</v>
      </c>
      <c r="U323" s="14">
        <v>0.47988589806111892</v>
      </c>
    </row>
    <row r="324" spans="17:21" x14ac:dyDescent="0.2">
      <c r="Q324" s="23">
        <v>323</v>
      </c>
      <c r="R324" s="9">
        <v>122.05489850575557</v>
      </c>
      <c r="S324" s="1">
        <v>22.054902505755493</v>
      </c>
      <c r="T324" s="1">
        <v>21.09962483238607</v>
      </c>
      <c r="U324" s="14">
        <v>-0.95527767336942304</v>
      </c>
    </row>
    <row r="325" spans="17:21" x14ac:dyDescent="0.2">
      <c r="Q325" s="23">
        <v>324</v>
      </c>
      <c r="R325" s="9">
        <v>106.9436234519567</v>
      </c>
      <c r="S325" s="1">
        <v>6.9436274519566155</v>
      </c>
      <c r="T325" s="1">
        <v>7.4872153701636677</v>
      </c>
      <c r="U325" s="14">
        <v>0.54358791820705221</v>
      </c>
    </row>
    <row r="326" spans="17:21" x14ac:dyDescent="0.2">
      <c r="Q326" s="23">
        <v>325</v>
      </c>
      <c r="R326" s="9">
        <v>68.681702813040076</v>
      </c>
      <c r="S326" s="1">
        <v>0</v>
      </c>
      <c r="T326" s="1">
        <v>-0.28434038445965526</v>
      </c>
      <c r="U326" s="14">
        <v>-0.28434038445965526</v>
      </c>
    </row>
    <row r="327" spans="17:21" x14ac:dyDescent="0.2">
      <c r="Q327" s="23">
        <v>326</v>
      </c>
      <c r="R327" s="9">
        <v>106.6555299046538</v>
      </c>
      <c r="S327" s="1">
        <v>6.6555339046537227</v>
      </c>
      <c r="T327" s="1">
        <v>8.2660494719624751</v>
      </c>
      <c r="U327" s="14">
        <v>1.6105155673087523</v>
      </c>
    </row>
    <row r="328" spans="17:21" x14ac:dyDescent="0.2">
      <c r="Q328" s="23">
        <v>327</v>
      </c>
      <c r="R328" s="9">
        <v>118.13339312447479</v>
      </c>
      <c r="S328" s="1">
        <v>18.133397124474712</v>
      </c>
      <c r="T328" s="1">
        <v>18.020811262459461</v>
      </c>
      <c r="U328" s="14">
        <v>-0.11258586201525134</v>
      </c>
    </row>
    <row r="329" spans="17:21" x14ac:dyDescent="0.2">
      <c r="Q329" s="23">
        <v>328</v>
      </c>
      <c r="R329" s="9">
        <v>111.47223172547078</v>
      </c>
      <c r="S329" s="1">
        <v>11.472235725470696</v>
      </c>
      <c r="T329" s="1">
        <v>11.107863922490736</v>
      </c>
      <c r="U329" s="14">
        <v>-0.36437180297996008</v>
      </c>
    </row>
    <row r="330" spans="17:21" x14ac:dyDescent="0.2">
      <c r="Q330" s="23">
        <v>329</v>
      </c>
      <c r="R330" s="9">
        <v>78.241383528427704</v>
      </c>
      <c r="S330" s="1">
        <v>0</v>
      </c>
      <c r="T330" s="1">
        <v>2.3820821986884457</v>
      </c>
      <c r="U330" s="14">
        <v>2.3820821986884457</v>
      </c>
    </row>
    <row r="331" spans="17:21" x14ac:dyDescent="0.2">
      <c r="Q331" s="23">
        <v>330</v>
      </c>
      <c r="R331" s="9">
        <v>129.1994103414834</v>
      </c>
      <c r="S331" s="1">
        <v>29.199414341483319</v>
      </c>
      <c r="T331" s="1">
        <v>27.966913595317749</v>
      </c>
      <c r="U331" s="14">
        <v>-1.2325007461655701</v>
      </c>
    </row>
    <row r="332" spans="17:21" x14ac:dyDescent="0.2">
      <c r="Q332" s="23">
        <v>331</v>
      </c>
      <c r="R332" s="9">
        <v>100.14254695089029</v>
      </c>
      <c r="S332" s="1">
        <v>0.14255095089021097</v>
      </c>
      <c r="T332" s="1">
        <v>-0.88013869947327805</v>
      </c>
      <c r="U332" s="14">
        <v>-1.022689650363489</v>
      </c>
    </row>
    <row r="333" spans="17:21" x14ac:dyDescent="0.2">
      <c r="Q333" s="23">
        <v>332</v>
      </c>
      <c r="R333" s="9">
        <v>101.73447314609142</v>
      </c>
      <c r="S333" s="1">
        <v>1.7344771460913364</v>
      </c>
      <c r="T333" s="1">
        <v>2.4616854741528869</v>
      </c>
      <c r="U333" s="14">
        <v>0.72720832806155045</v>
      </c>
    </row>
    <row r="334" spans="17:21" x14ac:dyDescent="0.2">
      <c r="Q334" s="23">
        <v>333</v>
      </c>
      <c r="R334" s="9">
        <v>76.159822863792513</v>
      </c>
      <c r="S334" s="1">
        <v>0</v>
      </c>
      <c r="T334" s="1">
        <v>-2.745202396645479</v>
      </c>
      <c r="U334" s="14">
        <v>-2.745202396645479</v>
      </c>
    </row>
    <row r="335" spans="17:21" x14ac:dyDescent="0.2">
      <c r="Q335" s="23">
        <v>334</v>
      </c>
      <c r="R335" s="9">
        <v>67.75739368795891</v>
      </c>
      <c r="S335" s="1">
        <v>0</v>
      </c>
      <c r="T335" s="1">
        <v>-1.4092367472306657</v>
      </c>
      <c r="U335" s="14">
        <v>-1.4092367472306657</v>
      </c>
    </row>
    <row r="336" spans="17:21" x14ac:dyDescent="0.2">
      <c r="Q336" s="23">
        <v>335</v>
      </c>
      <c r="R336" s="9">
        <v>108.97213804183303</v>
      </c>
      <c r="S336" s="1">
        <v>8.9721420418329529</v>
      </c>
      <c r="T336" s="1">
        <v>10.14053710279893</v>
      </c>
      <c r="U336" s="14">
        <v>1.1683950609659774</v>
      </c>
    </row>
    <row r="337" spans="17:21" x14ac:dyDescent="0.2">
      <c r="Q337" s="23">
        <v>336</v>
      </c>
      <c r="R337" s="9">
        <v>113.23857255938728</v>
      </c>
      <c r="S337" s="1">
        <v>13.238576559387198</v>
      </c>
      <c r="T337" s="1">
        <v>12.355946462512648</v>
      </c>
      <c r="U337" s="14">
        <v>-0.88263009687454996</v>
      </c>
    </row>
    <row r="338" spans="17:21" x14ac:dyDescent="0.2">
      <c r="Q338" s="23">
        <v>337</v>
      </c>
      <c r="R338" s="9">
        <v>131.84084503945999</v>
      </c>
      <c r="S338" s="1">
        <v>31.840849039459911</v>
      </c>
      <c r="T338" s="1">
        <v>31.631291417315239</v>
      </c>
      <c r="U338" s="14">
        <v>-0.209557622144672</v>
      </c>
    </row>
    <row r="339" spans="17:21" x14ac:dyDescent="0.2">
      <c r="Q339" s="23">
        <v>338</v>
      </c>
      <c r="R339" s="9">
        <v>74.533421718346091</v>
      </c>
      <c r="S339" s="1">
        <v>0</v>
      </c>
      <c r="T339" s="1">
        <v>0.49973637985195035</v>
      </c>
      <c r="U339" s="14">
        <v>0.49973637985195035</v>
      </c>
    </row>
    <row r="340" spans="17:21" x14ac:dyDescent="0.2">
      <c r="Q340" s="23">
        <v>339</v>
      </c>
      <c r="R340" s="9">
        <v>127.02092792014909</v>
      </c>
      <c r="S340" s="1">
        <v>27.02093192014901</v>
      </c>
      <c r="T340" s="1">
        <v>25.005618976792562</v>
      </c>
      <c r="U340" s="14">
        <v>-2.0153129433564487</v>
      </c>
    </row>
    <row r="341" spans="17:21" x14ac:dyDescent="0.2">
      <c r="Q341" s="23">
        <v>340</v>
      </c>
      <c r="R341" s="9">
        <v>69.200908925094836</v>
      </c>
      <c r="S341" s="1">
        <v>0</v>
      </c>
      <c r="T341" s="1">
        <v>-0.54971769784913249</v>
      </c>
      <c r="U341" s="14">
        <v>-0.54971769784913249</v>
      </c>
    </row>
    <row r="342" spans="17:21" x14ac:dyDescent="0.2">
      <c r="Q342" s="23">
        <v>341</v>
      </c>
      <c r="R342" s="9">
        <v>111.88340618172901</v>
      </c>
      <c r="S342" s="1">
        <v>11.883410181728934</v>
      </c>
      <c r="T342" s="1">
        <v>11.645442546232275</v>
      </c>
      <c r="U342" s="14">
        <v>-0.23796763549665911</v>
      </c>
    </row>
    <row r="343" spans="17:21" x14ac:dyDescent="0.2">
      <c r="Q343" s="23">
        <v>342</v>
      </c>
      <c r="R343" s="9">
        <v>127.87293266205161</v>
      </c>
      <c r="S343" s="1">
        <v>27.872936662051529</v>
      </c>
      <c r="T343" s="1">
        <v>28.013252271227174</v>
      </c>
      <c r="U343" s="14">
        <v>0.14031560917564434</v>
      </c>
    </row>
    <row r="344" spans="17:21" x14ac:dyDescent="0.2">
      <c r="Q344" s="23">
        <v>343</v>
      </c>
      <c r="R344" s="9">
        <v>130.48861208820747</v>
      </c>
      <c r="S344" s="1">
        <v>30.488616088207394</v>
      </c>
      <c r="T344" s="1">
        <v>30.37866403701409</v>
      </c>
      <c r="U344" s="14">
        <v>-0.10995205119330365</v>
      </c>
    </row>
    <row r="345" spans="17:21" x14ac:dyDescent="0.2">
      <c r="Q345" s="23">
        <v>344</v>
      </c>
      <c r="R345" s="9">
        <v>120.27671381305765</v>
      </c>
      <c r="S345" s="1">
        <v>20.276717813057573</v>
      </c>
      <c r="T345" s="1">
        <v>19.765094745167673</v>
      </c>
      <c r="U345" s="14">
        <v>-0.51162306788990008</v>
      </c>
    </row>
    <row r="346" spans="17:21" x14ac:dyDescent="0.2">
      <c r="Q346" s="23">
        <v>345</v>
      </c>
      <c r="R346" s="9">
        <v>108.13297520491511</v>
      </c>
      <c r="S346" s="1">
        <v>8.1329792049150313</v>
      </c>
      <c r="T346" s="1">
        <v>6.6300483227973785</v>
      </c>
      <c r="U346" s="14">
        <v>-1.5029308821176528</v>
      </c>
    </row>
    <row r="347" spans="17:21" x14ac:dyDescent="0.2">
      <c r="Q347" s="23">
        <v>346</v>
      </c>
      <c r="R347" s="9">
        <v>115.21488911333481</v>
      </c>
      <c r="S347" s="1">
        <v>15.214893113334725</v>
      </c>
      <c r="T347" s="1">
        <v>14.370130735382645</v>
      </c>
      <c r="U347" s="14">
        <v>-0.84476237795207965</v>
      </c>
    </row>
    <row r="348" spans="17:21" x14ac:dyDescent="0.2">
      <c r="Q348" s="23">
        <v>347</v>
      </c>
      <c r="R348" s="9">
        <v>126.25506614162296</v>
      </c>
      <c r="S348" s="1">
        <v>26.25507014162288</v>
      </c>
      <c r="T348" s="1">
        <v>27.316250263754199</v>
      </c>
      <c r="U348" s="14">
        <v>1.0611801221313186</v>
      </c>
    </row>
    <row r="349" spans="17:21" x14ac:dyDescent="0.2">
      <c r="Q349" s="23">
        <v>348</v>
      </c>
      <c r="R349" s="9">
        <v>108.3778844874919</v>
      </c>
      <c r="S349" s="1">
        <v>8.3778884874918162</v>
      </c>
      <c r="T349" s="1">
        <v>9.3156358839992635</v>
      </c>
      <c r="U349" s="14">
        <v>0.93774739650744721</v>
      </c>
    </row>
    <row r="350" spans="17:21" x14ac:dyDescent="0.2">
      <c r="Q350" s="23">
        <v>349</v>
      </c>
      <c r="R350" s="9">
        <v>110.3337951578077</v>
      </c>
      <c r="S350" s="1">
        <v>10.333799157807618</v>
      </c>
      <c r="T350" s="1">
        <v>9.7908876141566452</v>
      </c>
      <c r="U350" s="14">
        <v>-0.54291154365097327</v>
      </c>
    </row>
    <row r="351" spans="17:21" x14ac:dyDescent="0.2">
      <c r="Q351" s="23">
        <v>350</v>
      </c>
      <c r="R351" s="9">
        <v>80.359315072405437</v>
      </c>
      <c r="S351" s="1">
        <v>0</v>
      </c>
      <c r="T351" s="1">
        <v>-1.1785184350601443</v>
      </c>
      <c r="U351" s="14">
        <v>-1.1785184350601443</v>
      </c>
    </row>
    <row r="352" spans="17:21" x14ac:dyDescent="0.2">
      <c r="Q352" s="23">
        <v>351</v>
      </c>
      <c r="R352" s="9">
        <v>76.64587099595775</v>
      </c>
      <c r="S352" s="1">
        <v>0</v>
      </c>
      <c r="T352" s="1">
        <v>-1.3975367553827385</v>
      </c>
      <c r="U352" s="14">
        <v>-1.3975367553827385</v>
      </c>
    </row>
    <row r="353" spans="17:21" x14ac:dyDescent="0.2">
      <c r="Q353" s="23">
        <v>352</v>
      </c>
      <c r="R353" s="9">
        <v>116.78973850599064</v>
      </c>
      <c r="S353" s="1">
        <v>16.78974250599056</v>
      </c>
      <c r="T353" s="1">
        <v>16.374212546606856</v>
      </c>
      <c r="U353" s="14">
        <v>-0.41552995938370429</v>
      </c>
    </row>
    <row r="354" spans="17:21" x14ac:dyDescent="0.2">
      <c r="Q354" s="23">
        <v>353</v>
      </c>
      <c r="R354" s="9">
        <v>96.132033257028212</v>
      </c>
      <c r="S354" s="1">
        <v>0</v>
      </c>
      <c r="T354" s="1">
        <v>1.5791227225275293</v>
      </c>
      <c r="U354" s="14">
        <v>1.5791227225275293</v>
      </c>
    </row>
    <row r="355" spans="17:21" x14ac:dyDescent="0.2">
      <c r="Q355" s="23">
        <v>354</v>
      </c>
      <c r="R355" s="9">
        <v>99.361271767352036</v>
      </c>
      <c r="S355" s="1">
        <v>9.8134029694802009E-229</v>
      </c>
      <c r="T355" s="1">
        <v>0.35487224666754003</v>
      </c>
      <c r="U355" s="14">
        <v>0.35487224666754003</v>
      </c>
    </row>
    <row r="356" spans="17:21" x14ac:dyDescent="0.2">
      <c r="Q356" s="23">
        <v>355</v>
      </c>
      <c r="R356" s="9">
        <v>116.6190411188697</v>
      </c>
      <c r="S356" s="1">
        <v>16.619045118869622</v>
      </c>
      <c r="T356" s="1">
        <v>17.322218425096281</v>
      </c>
      <c r="U356" s="14">
        <v>0.70317330622665963</v>
      </c>
    </row>
    <row r="357" spans="17:21" x14ac:dyDescent="0.2">
      <c r="Q357" s="23">
        <v>356</v>
      </c>
      <c r="R357" s="9">
        <v>109.18307696917331</v>
      </c>
      <c r="S357" s="1">
        <v>9.1830809691732327</v>
      </c>
      <c r="T357" s="1">
        <v>9.2225894444847825</v>
      </c>
      <c r="U357" s="14">
        <v>3.9508475311549773E-2</v>
      </c>
    </row>
    <row r="358" spans="17:21" x14ac:dyDescent="0.2">
      <c r="Q358" s="23">
        <v>357</v>
      </c>
      <c r="R358" s="9">
        <v>80.995274003684685</v>
      </c>
      <c r="S358" s="1">
        <v>0</v>
      </c>
      <c r="T358" s="1">
        <v>0.44409046886720194</v>
      </c>
      <c r="U358" s="14">
        <v>0.44409046886720194</v>
      </c>
    </row>
    <row r="359" spans="17:21" x14ac:dyDescent="0.2">
      <c r="Q359" s="23">
        <v>358</v>
      </c>
      <c r="R359" s="9">
        <v>128.41446014903818</v>
      </c>
      <c r="S359" s="1">
        <v>28.414464149038096</v>
      </c>
      <c r="T359" s="1">
        <v>29.040438536545821</v>
      </c>
      <c r="U359" s="14">
        <v>0.62597438750772483</v>
      </c>
    </row>
    <row r="360" spans="17:21" x14ac:dyDescent="0.2">
      <c r="Q360" s="23">
        <v>359</v>
      </c>
      <c r="R360" s="9">
        <v>97.77901191633039</v>
      </c>
      <c r="S360" s="1">
        <v>0</v>
      </c>
      <c r="T360" s="1">
        <v>-0.20581457780711787</v>
      </c>
      <c r="U360" s="14">
        <v>-0.20581457780711787</v>
      </c>
    </row>
    <row r="361" spans="17:21" x14ac:dyDescent="0.2">
      <c r="Q361" s="23">
        <v>360</v>
      </c>
      <c r="R361" s="9">
        <v>101.93734497864412</v>
      </c>
      <c r="S361" s="1">
        <v>1.9373489786440388</v>
      </c>
      <c r="T361" s="1">
        <v>-0.10264073203410362</v>
      </c>
      <c r="U361" s="14">
        <v>-2.0399897106781424</v>
      </c>
    </row>
    <row r="362" spans="17:21" x14ac:dyDescent="0.2">
      <c r="Q362" s="23">
        <v>361</v>
      </c>
      <c r="R362" s="9">
        <v>86.971153133070615</v>
      </c>
      <c r="S362" s="1">
        <v>0</v>
      </c>
      <c r="T362" s="1">
        <v>-2.8340884699625928</v>
      </c>
      <c r="U362" s="14">
        <v>-2.8340884699625928</v>
      </c>
    </row>
    <row r="363" spans="17:21" x14ac:dyDescent="0.2">
      <c r="Q363" s="23">
        <v>362</v>
      </c>
      <c r="R363" s="9">
        <v>99.892548895059377</v>
      </c>
      <c r="S363" s="1">
        <v>1.3373185796461884E-10</v>
      </c>
      <c r="T363" s="1">
        <v>-0.16175845257486404</v>
      </c>
      <c r="U363" s="14">
        <v>-0.1617584527085959</v>
      </c>
    </row>
    <row r="364" spans="17:21" x14ac:dyDescent="0.2">
      <c r="Q364" s="23">
        <v>363</v>
      </c>
      <c r="R364" s="9">
        <v>93.515443082422763</v>
      </c>
      <c r="S364" s="1">
        <v>0</v>
      </c>
      <c r="T364" s="1">
        <v>-5.4570676750290943</v>
      </c>
      <c r="U364" s="14">
        <v>-5.4570676750290943</v>
      </c>
    </row>
    <row r="365" spans="17:21" x14ac:dyDescent="0.2">
      <c r="Q365" s="23">
        <v>364</v>
      </c>
      <c r="R365" s="9">
        <v>151.50921393706318</v>
      </c>
      <c r="S365" s="1">
        <v>51.509217937063099</v>
      </c>
      <c r="T365" s="1">
        <v>50.22143814677797</v>
      </c>
      <c r="U365" s="14">
        <v>-1.2877797902851285</v>
      </c>
    </row>
    <row r="366" spans="17:21" x14ac:dyDescent="0.2">
      <c r="Q366" s="23">
        <v>365</v>
      </c>
      <c r="R366" s="9">
        <v>94.099018695229105</v>
      </c>
      <c r="S366" s="1">
        <v>0</v>
      </c>
      <c r="T366" s="1">
        <v>0.7596819458993842</v>
      </c>
      <c r="U366" s="14">
        <v>0.7596819458993842</v>
      </c>
    </row>
    <row r="367" spans="17:21" x14ac:dyDescent="0.2">
      <c r="Q367" s="23">
        <v>366</v>
      </c>
      <c r="R367" s="9">
        <v>126.78439876579735</v>
      </c>
      <c r="S367" s="1">
        <v>26.784402765797267</v>
      </c>
      <c r="T367" s="1">
        <v>27.464287433420253</v>
      </c>
      <c r="U367" s="14">
        <v>0.67988466762298572</v>
      </c>
    </row>
    <row r="368" spans="17:21" x14ac:dyDescent="0.2">
      <c r="Q368" s="23">
        <v>367</v>
      </c>
      <c r="R368" s="9">
        <v>89.18842884244215</v>
      </c>
      <c r="S368" s="1">
        <v>0</v>
      </c>
      <c r="T368" s="1">
        <v>2.7178518874632913</v>
      </c>
      <c r="U368" s="14">
        <v>2.7178518874632913</v>
      </c>
    </row>
    <row r="369" spans="17:21" x14ac:dyDescent="0.2">
      <c r="Q369" s="23">
        <v>368</v>
      </c>
      <c r="R369" s="9">
        <v>79.592696211811415</v>
      </c>
      <c r="S369" s="1">
        <v>0</v>
      </c>
      <c r="T369" s="1">
        <v>-0.83100076263324008</v>
      </c>
      <c r="U369" s="14">
        <v>-0.83100076263324008</v>
      </c>
    </row>
    <row r="370" spans="17:21" x14ac:dyDescent="0.2">
      <c r="Q370" s="23">
        <v>369</v>
      </c>
      <c r="R370" s="9">
        <v>102.18765425186722</v>
      </c>
      <c r="S370" s="1">
        <v>2.1876582518671341</v>
      </c>
      <c r="T370" s="1">
        <v>4.6808201583438489</v>
      </c>
      <c r="U370" s="14">
        <v>2.4931619064767148</v>
      </c>
    </row>
    <row r="371" spans="17:21" x14ac:dyDescent="0.2">
      <c r="Q371" s="23">
        <v>370</v>
      </c>
      <c r="R371" s="9">
        <v>86.669575583092524</v>
      </c>
      <c r="S371" s="1">
        <v>0</v>
      </c>
      <c r="T371" s="1">
        <v>-0.13669419497916713</v>
      </c>
      <c r="U371" s="14">
        <v>-0.13669419497916713</v>
      </c>
    </row>
    <row r="372" spans="17:21" x14ac:dyDescent="0.2">
      <c r="Q372" s="23">
        <v>371</v>
      </c>
      <c r="R372" s="9">
        <v>98.094427788220784</v>
      </c>
      <c r="S372" s="1">
        <v>0</v>
      </c>
      <c r="T372" s="1">
        <v>1.8154327031684048</v>
      </c>
      <c r="U372" s="14">
        <v>1.8154327031684048</v>
      </c>
    </row>
    <row r="373" spans="17:21" x14ac:dyDescent="0.2">
      <c r="Q373" s="23">
        <v>372</v>
      </c>
      <c r="R373" s="9">
        <v>104.5511474279176</v>
      </c>
      <c r="S373" s="1">
        <v>4.5511514279175174</v>
      </c>
      <c r="T373" s="1">
        <v>2.7100002569162172</v>
      </c>
      <c r="U373" s="14">
        <v>-1.8411511710013002</v>
      </c>
    </row>
    <row r="374" spans="17:21" x14ac:dyDescent="0.2">
      <c r="Q374" s="23">
        <v>373</v>
      </c>
      <c r="R374" s="9">
        <v>121.44908183484549</v>
      </c>
      <c r="S374" s="1">
        <v>21.449085834845405</v>
      </c>
      <c r="T374" s="1">
        <v>22.681640617515114</v>
      </c>
      <c r="U374" s="14">
        <v>1.232554782669709</v>
      </c>
    </row>
    <row r="375" spans="17:21" x14ac:dyDescent="0.2">
      <c r="Q375" s="23">
        <v>374</v>
      </c>
      <c r="R375" s="9">
        <v>95.619441808312629</v>
      </c>
      <c r="S375" s="1">
        <v>0</v>
      </c>
      <c r="T375" s="1">
        <v>0.61299176475920136</v>
      </c>
      <c r="U375" s="14">
        <v>0.61299176475920136</v>
      </c>
    </row>
    <row r="376" spans="17:21" x14ac:dyDescent="0.2">
      <c r="Q376" s="23">
        <v>375</v>
      </c>
      <c r="R376" s="9">
        <v>93.146103999848066</v>
      </c>
      <c r="S376" s="1">
        <v>0</v>
      </c>
      <c r="T376" s="1">
        <v>1.9576698088001994</v>
      </c>
      <c r="U376" s="14">
        <v>1.9576698088001994</v>
      </c>
    </row>
    <row r="377" spans="17:21" x14ac:dyDescent="0.2">
      <c r="Q377" s="23">
        <v>376</v>
      </c>
      <c r="R377" s="9">
        <v>98.308438299282585</v>
      </c>
      <c r="S377" s="1">
        <v>0</v>
      </c>
      <c r="T377" s="1">
        <v>0.31111544687961157</v>
      </c>
      <c r="U377" s="14">
        <v>0.31111544687961157</v>
      </c>
    </row>
    <row r="378" spans="17:21" x14ac:dyDescent="0.2">
      <c r="Q378" s="23">
        <v>377</v>
      </c>
      <c r="R378" s="9">
        <v>74.769565317277426</v>
      </c>
      <c r="S378" s="1">
        <v>0</v>
      </c>
      <c r="T378" s="1">
        <v>-1.3068978335115737</v>
      </c>
      <c r="U378" s="14">
        <v>-1.3068978335115737</v>
      </c>
    </row>
    <row r="379" spans="17:21" x14ac:dyDescent="0.2">
      <c r="Q379" s="23">
        <v>378</v>
      </c>
      <c r="R379" s="9">
        <v>96.352425997007032</v>
      </c>
      <c r="S379" s="1">
        <v>0</v>
      </c>
      <c r="T379" s="1">
        <v>-0.35020195617047989</v>
      </c>
      <c r="U379" s="14">
        <v>-0.35020195617047989</v>
      </c>
    </row>
    <row r="380" spans="17:21" x14ac:dyDescent="0.2">
      <c r="Q380" s="23">
        <v>379</v>
      </c>
      <c r="R380" s="9">
        <v>89.677270750345087</v>
      </c>
      <c r="S380" s="1">
        <v>0</v>
      </c>
      <c r="T380" s="1">
        <v>-0.59767366053720039</v>
      </c>
      <c r="U380" s="14">
        <v>-0.59767366053720039</v>
      </c>
    </row>
    <row r="381" spans="17:21" x14ac:dyDescent="0.2">
      <c r="Q381" s="23">
        <v>380</v>
      </c>
      <c r="R381" s="9">
        <v>115.38699924577033</v>
      </c>
      <c r="S381" s="1">
        <v>15.387003245770245</v>
      </c>
      <c r="T381" s="1">
        <v>17.198473067290536</v>
      </c>
      <c r="U381" s="14">
        <v>1.8114698215202907</v>
      </c>
    </row>
    <row r="382" spans="17:21" x14ac:dyDescent="0.2">
      <c r="Q382" s="23">
        <v>381</v>
      </c>
      <c r="R382" s="9">
        <v>123.95741019409579</v>
      </c>
      <c r="S382" s="1">
        <v>23.957414194095705</v>
      </c>
      <c r="T382" s="1">
        <v>25.175822359130336</v>
      </c>
      <c r="U382" s="14">
        <v>1.2184081650346315</v>
      </c>
    </row>
    <row r="383" spans="17:21" x14ac:dyDescent="0.2">
      <c r="Q383" s="23">
        <v>382</v>
      </c>
      <c r="R383" s="9">
        <v>113.8253262329128</v>
      </c>
      <c r="S383" s="1">
        <v>13.825330232912719</v>
      </c>
      <c r="T383" s="1">
        <v>11.386372054853808</v>
      </c>
      <c r="U383" s="14">
        <v>-2.4389581780589111</v>
      </c>
    </row>
    <row r="384" spans="17:21" x14ac:dyDescent="0.2">
      <c r="Q384" s="23">
        <v>383</v>
      </c>
      <c r="R384" s="9">
        <v>129.42403047056092</v>
      </c>
      <c r="S384" s="1">
        <v>29.424034470560841</v>
      </c>
      <c r="T384" s="1">
        <v>29.915963222781286</v>
      </c>
      <c r="U384" s="14">
        <v>0.49192875222044563</v>
      </c>
    </row>
    <row r="385" spans="17:21" x14ac:dyDescent="0.2">
      <c r="Q385" s="23">
        <v>384</v>
      </c>
      <c r="R385" s="9">
        <v>95.220020522806948</v>
      </c>
      <c r="S385" s="1">
        <v>0</v>
      </c>
      <c r="T385" s="1">
        <v>-1.8583755403427324</v>
      </c>
      <c r="U385" s="14">
        <v>-1.8583755403427324</v>
      </c>
    </row>
    <row r="386" spans="17:21" x14ac:dyDescent="0.2">
      <c r="Q386" s="23">
        <v>385</v>
      </c>
      <c r="R386" s="9">
        <v>93.858159038329376</v>
      </c>
      <c r="S386" s="1">
        <v>0</v>
      </c>
      <c r="T386" s="1">
        <v>-1.0067458011984893</v>
      </c>
      <c r="U386" s="14">
        <v>-1.0067458011984893</v>
      </c>
    </row>
    <row r="387" spans="17:21" x14ac:dyDescent="0.2">
      <c r="Q387" s="23">
        <v>386</v>
      </c>
      <c r="R387" s="9">
        <v>100.43441951184974</v>
      </c>
      <c r="S387" s="1">
        <v>0.43442351184965844</v>
      </c>
      <c r="T387" s="1">
        <v>2.9479747241778966</v>
      </c>
      <c r="U387" s="14">
        <v>2.5135512123282382</v>
      </c>
    </row>
    <row r="388" spans="17:21" x14ac:dyDescent="0.2">
      <c r="Q388" s="23">
        <v>387</v>
      </c>
      <c r="R388" s="9">
        <v>72.385542406834759</v>
      </c>
      <c r="S388" s="1">
        <v>0</v>
      </c>
      <c r="T388" s="1">
        <v>-0.59380373872228487</v>
      </c>
      <c r="U388" s="14">
        <v>-0.59380373872228487</v>
      </c>
    </row>
    <row r="389" spans="17:21" x14ac:dyDescent="0.2">
      <c r="Q389" s="23">
        <v>388</v>
      </c>
      <c r="R389" s="9">
        <v>84.447423245447013</v>
      </c>
      <c r="S389" s="1">
        <v>0</v>
      </c>
      <c r="T389" s="1">
        <v>0.32383404173850483</v>
      </c>
      <c r="U389" s="14">
        <v>0.32383404173850483</v>
      </c>
    </row>
    <row r="390" spans="17:21" x14ac:dyDescent="0.2">
      <c r="Q390" s="23">
        <v>389</v>
      </c>
      <c r="R390" s="9">
        <v>98.825856118279319</v>
      </c>
      <c r="S390" s="1">
        <v>0</v>
      </c>
      <c r="T390" s="1">
        <v>-1.8356135774016877</v>
      </c>
      <c r="U390" s="14">
        <v>-1.8356135774016877</v>
      </c>
    </row>
    <row r="391" spans="17:21" x14ac:dyDescent="0.2">
      <c r="Q391" s="23">
        <v>390</v>
      </c>
      <c r="R391" s="9">
        <v>129.03484073170645</v>
      </c>
      <c r="S391" s="1">
        <v>29.034844731706372</v>
      </c>
      <c r="T391" s="1">
        <v>29.089894600645138</v>
      </c>
      <c r="U391" s="14">
        <v>5.5049868938766622E-2</v>
      </c>
    </row>
    <row r="392" spans="17:21" x14ac:dyDescent="0.2">
      <c r="Q392" s="23">
        <v>391</v>
      </c>
      <c r="R392" s="9">
        <v>119.03427111290488</v>
      </c>
      <c r="S392" s="1">
        <v>19.034275112904794</v>
      </c>
      <c r="T392" s="1">
        <v>19.113735793916618</v>
      </c>
      <c r="U392" s="14">
        <v>7.9460681011823908E-2</v>
      </c>
    </row>
    <row r="393" spans="17:21" x14ac:dyDescent="0.2">
      <c r="Q393" s="23">
        <v>392</v>
      </c>
      <c r="R393" s="9">
        <v>146.02345452955663</v>
      </c>
      <c r="S393" s="1">
        <v>46.023458529556549</v>
      </c>
      <c r="T393" s="1">
        <v>45.601033512736038</v>
      </c>
      <c r="U393" s="14">
        <v>-0.4224250168205117</v>
      </c>
    </row>
    <row r="394" spans="17:21" x14ac:dyDescent="0.2">
      <c r="Q394" s="23">
        <v>393</v>
      </c>
      <c r="R394" s="9">
        <v>106.3876064447641</v>
      </c>
      <c r="S394" s="1">
        <v>6.3876104447640216</v>
      </c>
      <c r="T394" s="1">
        <v>4.2757866768310464</v>
      </c>
      <c r="U394" s="14">
        <v>-2.1118237679329752</v>
      </c>
    </row>
    <row r="395" spans="17:21" x14ac:dyDescent="0.2">
      <c r="Q395" s="23">
        <v>394</v>
      </c>
      <c r="R395" s="9">
        <v>97.922836989206317</v>
      </c>
      <c r="S395" s="1">
        <v>0</v>
      </c>
      <c r="T395" s="1">
        <v>1.2771307319842933</v>
      </c>
      <c r="U395" s="14">
        <v>1.2771307319842933</v>
      </c>
    </row>
    <row r="396" spans="17:21" x14ac:dyDescent="0.2">
      <c r="Q396" s="23">
        <v>395</v>
      </c>
      <c r="R396" s="9">
        <v>136.1744513423647</v>
      </c>
      <c r="S396" s="1">
        <v>36.174455342364624</v>
      </c>
      <c r="T396" s="1">
        <v>34.219014822854405</v>
      </c>
      <c r="U396" s="14">
        <v>-1.9554405195102191</v>
      </c>
    </row>
    <row r="397" spans="17:21" x14ac:dyDescent="0.2">
      <c r="Q397" s="23">
        <v>396</v>
      </c>
      <c r="R397" s="9">
        <v>158.95441315928903</v>
      </c>
      <c r="S397" s="1">
        <v>58.954417159288951</v>
      </c>
      <c r="T397" s="1">
        <v>58.042481568907959</v>
      </c>
      <c r="U397" s="14">
        <v>-0.91193559038099181</v>
      </c>
    </row>
    <row r="398" spans="17:21" x14ac:dyDescent="0.2">
      <c r="Q398" s="23">
        <v>397</v>
      </c>
      <c r="R398" s="9">
        <v>93.98944776660916</v>
      </c>
      <c r="S398" s="1">
        <v>0</v>
      </c>
      <c r="T398" s="1">
        <v>-2.6914775505496351</v>
      </c>
      <c r="U398" s="14">
        <v>-2.6914775505496351</v>
      </c>
    </row>
    <row r="399" spans="17:21" x14ac:dyDescent="0.2">
      <c r="Q399" s="23">
        <v>398</v>
      </c>
      <c r="R399" s="9">
        <v>119.52653837506034</v>
      </c>
      <c r="S399" s="1">
        <v>19.526542375060259</v>
      </c>
      <c r="T399" s="1">
        <v>20.707295344782651</v>
      </c>
      <c r="U399" s="14">
        <v>1.1807529697223913</v>
      </c>
    </row>
    <row r="400" spans="17:21" x14ac:dyDescent="0.2">
      <c r="Q400" s="23">
        <v>399</v>
      </c>
      <c r="R400" s="9">
        <v>187.4169680374338</v>
      </c>
      <c r="S400" s="1">
        <v>87.416972037433723</v>
      </c>
      <c r="T400" s="1">
        <v>86.115887431766225</v>
      </c>
      <c r="U400" s="14">
        <v>-1.3010846056674978</v>
      </c>
    </row>
    <row r="401" spans="17:21" x14ac:dyDescent="0.2">
      <c r="Q401" s="23">
        <v>400</v>
      </c>
      <c r="R401" s="9">
        <v>114.81623278993095</v>
      </c>
      <c r="S401" s="1">
        <v>14.816236789930869</v>
      </c>
      <c r="T401" s="1">
        <v>15.203186930661403</v>
      </c>
      <c r="U401" s="14">
        <v>0.38695014073053358</v>
      </c>
    </row>
    <row r="402" spans="17:21" x14ac:dyDescent="0.2">
      <c r="Q402" s="23">
        <v>401</v>
      </c>
      <c r="R402" s="9">
        <v>89.864903481779905</v>
      </c>
      <c r="S402" s="1">
        <v>0</v>
      </c>
      <c r="T402" s="1">
        <v>-0.33965473905199672</v>
      </c>
      <c r="U402" s="14">
        <v>-0.33965473905199672</v>
      </c>
    </row>
    <row r="403" spans="17:21" x14ac:dyDescent="0.2">
      <c r="Q403" s="23">
        <v>402</v>
      </c>
      <c r="R403" s="9">
        <v>120.27892043383287</v>
      </c>
      <c r="S403" s="1">
        <v>20.278924433832785</v>
      </c>
      <c r="T403" s="1">
        <v>20.980136548289735</v>
      </c>
      <c r="U403" s="14">
        <v>0.70121211445695053</v>
      </c>
    </row>
    <row r="404" spans="17:21" x14ac:dyDescent="0.2">
      <c r="Q404" s="23">
        <v>403</v>
      </c>
      <c r="R404" s="9">
        <v>104.0932777504451</v>
      </c>
      <c r="S404" s="1">
        <v>4.0932817504450156</v>
      </c>
      <c r="T404" s="1">
        <v>6.2660225512798462</v>
      </c>
      <c r="U404" s="14">
        <v>2.1727408008348306</v>
      </c>
    </row>
    <row r="405" spans="17:21" x14ac:dyDescent="0.2">
      <c r="Q405" s="23">
        <v>404</v>
      </c>
      <c r="R405" s="9">
        <v>137.14938342006681</v>
      </c>
      <c r="S405" s="1">
        <v>37.149387420066731</v>
      </c>
      <c r="T405" s="1">
        <v>36.920051856100713</v>
      </c>
      <c r="U405" s="14">
        <v>-0.22933556396601773</v>
      </c>
    </row>
    <row r="406" spans="17:21" x14ac:dyDescent="0.2">
      <c r="Q406" s="23">
        <v>405</v>
      </c>
      <c r="R406" s="9">
        <v>103.87530339398779</v>
      </c>
      <c r="S406" s="1">
        <v>3.8753073939877112</v>
      </c>
      <c r="T406" s="1">
        <v>4.1140462982532711</v>
      </c>
      <c r="U406" s="14">
        <v>0.23873890426555988</v>
      </c>
    </row>
    <row r="407" spans="17:21" x14ac:dyDescent="0.2">
      <c r="Q407" s="23">
        <v>406</v>
      </c>
      <c r="R407" s="9">
        <v>121.00709783959411</v>
      </c>
      <c r="S407" s="1">
        <v>21.007101839594029</v>
      </c>
      <c r="T407" s="1">
        <v>20.208758811368952</v>
      </c>
      <c r="U407" s="14">
        <v>-0.79834302822507652</v>
      </c>
    </row>
    <row r="408" spans="17:21" x14ac:dyDescent="0.2">
      <c r="Q408" s="23">
        <v>407</v>
      </c>
      <c r="R408" s="9">
        <v>94.613800981928335</v>
      </c>
      <c r="S408" s="1">
        <v>0</v>
      </c>
      <c r="T408" s="1">
        <v>-1.6508986638904428</v>
      </c>
      <c r="U408" s="14">
        <v>-1.6508986638904428</v>
      </c>
    </row>
    <row r="409" spans="17:21" x14ac:dyDescent="0.2">
      <c r="Q409" s="23">
        <v>408</v>
      </c>
      <c r="R409" s="9">
        <v>90.269777921457248</v>
      </c>
      <c r="S409" s="1">
        <v>0</v>
      </c>
      <c r="T409" s="1">
        <v>0.74544762563317901</v>
      </c>
      <c r="U409" s="14">
        <v>0.74544762563317901</v>
      </c>
    </row>
    <row r="410" spans="17:21" x14ac:dyDescent="0.2">
      <c r="Q410" s="23">
        <v>409</v>
      </c>
      <c r="R410" s="9">
        <v>110.47002404987205</v>
      </c>
      <c r="S410" s="1">
        <v>10.470028049871971</v>
      </c>
      <c r="T410" s="1">
        <v>9.9885996091187081</v>
      </c>
      <c r="U410" s="14">
        <v>-0.48142844075326252</v>
      </c>
    </row>
    <row r="411" spans="17:21" x14ac:dyDescent="0.2">
      <c r="Q411" s="23">
        <v>410</v>
      </c>
      <c r="R411" s="9">
        <v>99.906548629291009</v>
      </c>
      <c r="S411" s="1">
        <v>5.8228477405714799E-9</v>
      </c>
      <c r="T411" s="1">
        <v>-0.45362263819719661</v>
      </c>
      <c r="U411" s="14">
        <v>-0.45362264402004437</v>
      </c>
    </row>
    <row r="412" spans="17:21" x14ac:dyDescent="0.2">
      <c r="Q412" s="23">
        <v>411</v>
      </c>
      <c r="R412" s="9">
        <v>97.331783738488539</v>
      </c>
      <c r="S412" s="1">
        <v>0</v>
      </c>
      <c r="T412" s="1">
        <v>0.11865367039760799</v>
      </c>
      <c r="U412" s="14">
        <v>0.11865367039760799</v>
      </c>
    </row>
    <row r="413" spans="17:21" x14ac:dyDescent="0.2">
      <c r="Q413" s="23">
        <v>412</v>
      </c>
      <c r="R413" s="9">
        <v>104.3633998554977</v>
      </c>
      <c r="S413" s="1">
        <v>4.3634038554976229</v>
      </c>
      <c r="T413" s="1">
        <v>5.6153207906191653</v>
      </c>
      <c r="U413" s="14">
        <v>1.2519169351215425</v>
      </c>
    </row>
    <row r="414" spans="17:21" x14ac:dyDescent="0.2">
      <c r="Q414" s="23">
        <v>413</v>
      </c>
      <c r="R414" s="9">
        <v>116.57022941106869</v>
      </c>
      <c r="S414" s="1">
        <v>16.570233411068614</v>
      </c>
      <c r="T414" s="1">
        <v>17.016530476245293</v>
      </c>
      <c r="U414" s="14">
        <v>0.44629706517667955</v>
      </c>
    </row>
    <row r="415" spans="17:21" x14ac:dyDescent="0.2">
      <c r="Q415" s="23">
        <v>414</v>
      </c>
      <c r="R415" s="9">
        <v>94.389909261325201</v>
      </c>
      <c r="S415" s="1">
        <v>0</v>
      </c>
      <c r="T415" s="1">
        <v>1.2075867742574391</v>
      </c>
      <c r="U415" s="14">
        <v>1.2075867742574391</v>
      </c>
    </row>
    <row r="416" spans="17:21" x14ac:dyDescent="0.2">
      <c r="Q416" s="23">
        <v>415</v>
      </c>
      <c r="R416" s="9">
        <v>122.86158984934659</v>
      </c>
      <c r="S416" s="1">
        <v>22.861593849346505</v>
      </c>
      <c r="T416" s="1">
        <v>22.5397762407068</v>
      </c>
      <c r="U416" s="14">
        <v>-0.3218176086397051</v>
      </c>
    </row>
    <row r="417" spans="17:21" x14ac:dyDescent="0.2">
      <c r="Q417" s="23">
        <v>416</v>
      </c>
      <c r="R417" s="9">
        <v>117.50385451913985</v>
      </c>
      <c r="S417" s="1">
        <v>17.503858519139769</v>
      </c>
      <c r="T417" s="1">
        <v>19.886287654476234</v>
      </c>
      <c r="U417" s="14">
        <v>2.3824291353364657</v>
      </c>
    </row>
    <row r="418" spans="17:21" x14ac:dyDescent="0.2">
      <c r="Q418" s="23">
        <v>417</v>
      </c>
      <c r="R418" s="9">
        <v>101.53369315371042</v>
      </c>
      <c r="S418" s="1">
        <v>1.5336971537103352</v>
      </c>
      <c r="T418" s="1">
        <v>1.9876947759722015</v>
      </c>
      <c r="U418" s="14">
        <v>0.45399762226186624</v>
      </c>
    </row>
    <row r="419" spans="17:21" x14ac:dyDescent="0.2">
      <c r="Q419" s="23">
        <v>418</v>
      </c>
      <c r="R419" s="9">
        <v>90.009585204235918</v>
      </c>
      <c r="S419" s="1">
        <v>0</v>
      </c>
      <c r="T419" s="1">
        <v>-0.41495918714421265</v>
      </c>
      <c r="U419" s="14">
        <v>-0.41495918714421265</v>
      </c>
    </row>
    <row r="420" spans="17:21" x14ac:dyDescent="0.2">
      <c r="Q420" s="23">
        <v>419</v>
      </c>
      <c r="R420" s="9">
        <v>85.387761539487897</v>
      </c>
      <c r="S420" s="1">
        <v>0</v>
      </c>
      <c r="T420" s="1">
        <v>0.36345228155649378</v>
      </c>
      <c r="U420" s="14">
        <v>0.36345228155649378</v>
      </c>
    </row>
    <row r="421" spans="17:21" x14ac:dyDescent="0.2">
      <c r="Q421" s="23">
        <v>420</v>
      </c>
      <c r="R421" s="9">
        <v>117.78291376002541</v>
      </c>
      <c r="S421" s="1">
        <v>17.782917760025327</v>
      </c>
      <c r="T421" s="1">
        <v>19.153119216561933</v>
      </c>
      <c r="U421" s="14">
        <v>1.3702014565366056</v>
      </c>
    </row>
    <row r="422" spans="17:21" x14ac:dyDescent="0.2">
      <c r="Q422" s="23">
        <v>421</v>
      </c>
      <c r="R422" s="9">
        <v>92.395038269944877</v>
      </c>
      <c r="S422" s="1">
        <v>0</v>
      </c>
      <c r="T422" s="1">
        <v>0.43749661883204283</v>
      </c>
      <c r="U422" s="14">
        <v>0.43749661883204283</v>
      </c>
    </row>
    <row r="423" spans="17:21" x14ac:dyDescent="0.2">
      <c r="Q423" s="23">
        <v>422</v>
      </c>
      <c r="R423" s="9">
        <v>132.69933566840433</v>
      </c>
      <c r="S423" s="1">
        <v>32.699339668404249</v>
      </c>
      <c r="T423" s="1">
        <v>31.765618407837991</v>
      </c>
      <c r="U423" s="14">
        <v>-0.93372126056625859</v>
      </c>
    </row>
    <row r="424" spans="17:21" x14ac:dyDescent="0.2">
      <c r="Q424" s="23">
        <v>423</v>
      </c>
      <c r="R424" s="9">
        <v>98.239218345506501</v>
      </c>
      <c r="S424" s="1">
        <v>0</v>
      </c>
      <c r="T424" s="1">
        <v>3.0036891045526204E-2</v>
      </c>
      <c r="U424" s="14">
        <v>3.0036891045526204E-2</v>
      </c>
    </row>
    <row r="425" spans="17:21" x14ac:dyDescent="0.2">
      <c r="Q425" s="23">
        <v>424</v>
      </c>
      <c r="R425" s="9">
        <v>105.7025662059752</v>
      </c>
      <c r="S425" s="1">
        <v>5.7025702059751211</v>
      </c>
      <c r="T425" s="1">
        <v>8.3153463806116861</v>
      </c>
      <c r="U425" s="14">
        <v>2.612776174636565</v>
      </c>
    </row>
    <row r="426" spans="17:21" x14ac:dyDescent="0.2">
      <c r="Q426" s="23">
        <v>425</v>
      </c>
      <c r="R426" s="9">
        <v>81.504609222339155</v>
      </c>
      <c r="S426" s="1">
        <v>0</v>
      </c>
      <c r="T426" s="1">
        <v>-8.9203569913288441E-2</v>
      </c>
      <c r="U426" s="14">
        <v>-8.9203569913288441E-2</v>
      </c>
    </row>
    <row r="427" spans="17:21" x14ac:dyDescent="0.2">
      <c r="Q427" s="23">
        <v>426</v>
      </c>
      <c r="R427" s="9">
        <v>87.456801870804753</v>
      </c>
      <c r="S427" s="1">
        <v>0</v>
      </c>
      <c r="T427" s="1">
        <v>0.1184405535405002</v>
      </c>
      <c r="U427" s="14">
        <v>0.1184405535405002</v>
      </c>
    </row>
    <row r="428" spans="17:21" x14ac:dyDescent="0.2">
      <c r="Q428" s="23">
        <v>427</v>
      </c>
      <c r="R428" s="9">
        <v>94.308666494188515</v>
      </c>
      <c r="S428" s="1">
        <v>0</v>
      </c>
      <c r="T428" s="1">
        <v>-0.99362360840227115</v>
      </c>
      <c r="U428" s="14">
        <v>-0.99362360840227115</v>
      </c>
    </row>
    <row r="429" spans="17:21" x14ac:dyDescent="0.2">
      <c r="Q429" s="23">
        <v>428</v>
      </c>
      <c r="R429" s="9">
        <v>77.350432601128759</v>
      </c>
      <c r="S429" s="1">
        <v>0</v>
      </c>
      <c r="T429" s="1">
        <v>1.794732352255524E-2</v>
      </c>
      <c r="U429" s="14">
        <v>1.794732352255524E-2</v>
      </c>
    </row>
    <row r="430" spans="17:21" x14ac:dyDescent="0.2">
      <c r="Q430" s="23">
        <v>429</v>
      </c>
      <c r="R430" s="9">
        <v>112.51702727712915</v>
      </c>
      <c r="S430" s="1">
        <v>12.517031277129064</v>
      </c>
      <c r="T430" s="1">
        <v>13.744366984431466</v>
      </c>
      <c r="U430" s="14">
        <v>1.2273357073024016</v>
      </c>
    </row>
    <row r="431" spans="17:21" x14ac:dyDescent="0.2">
      <c r="Q431" s="23">
        <v>430</v>
      </c>
      <c r="R431" s="9">
        <v>100.10251205856238</v>
      </c>
      <c r="S431" s="1">
        <v>0.10251605911102502</v>
      </c>
      <c r="T431" s="1">
        <v>-0.74008351995888688</v>
      </c>
      <c r="U431" s="14">
        <v>-0.8425995790699119</v>
      </c>
    </row>
    <row r="432" spans="17:21" x14ac:dyDescent="0.2">
      <c r="Q432" s="23">
        <v>431</v>
      </c>
      <c r="R432" s="9">
        <v>82.296864608952561</v>
      </c>
      <c r="S432" s="1">
        <v>0</v>
      </c>
      <c r="T432" s="1">
        <v>-0.33872028930682446</v>
      </c>
      <c r="U432" s="14">
        <v>-0.33872028930682446</v>
      </c>
    </row>
    <row r="433" spans="17:21" x14ac:dyDescent="0.2">
      <c r="Q433" s="23">
        <v>432</v>
      </c>
      <c r="R433" s="9">
        <v>132.45950564944374</v>
      </c>
      <c r="S433" s="1">
        <v>32.45950964944366</v>
      </c>
      <c r="T433" s="1">
        <v>32.663959634775438</v>
      </c>
      <c r="U433" s="14">
        <v>0.20444998533177738</v>
      </c>
    </row>
    <row r="434" spans="17:21" x14ac:dyDescent="0.2">
      <c r="Q434" s="23">
        <v>433</v>
      </c>
      <c r="R434" s="9">
        <v>90.018274699387916</v>
      </c>
      <c r="S434" s="1">
        <v>0</v>
      </c>
      <c r="T434" s="1">
        <v>-3.2201493561842498</v>
      </c>
      <c r="U434" s="14">
        <v>-3.2201493561842498</v>
      </c>
    </row>
    <row r="435" spans="17:21" x14ac:dyDescent="0.2">
      <c r="Q435" s="23">
        <v>434</v>
      </c>
      <c r="R435" s="9">
        <v>76.421705470399772</v>
      </c>
      <c r="S435" s="1">
        <v>0</v>
      </c>
      <c r="T435" s="1">
        <v>0.79182910877572443</v>
      </c>
      <c r="U435" s="14">
        <v>0.79182910877572443</v>
      </c>
    </row>
    <row r="436" spans="17:21" x14ac:dyDescent="0.2">
      <c r="Q436" s="23">
        <v>435</v>
      </c>
      <c r="R436" s="9">
        <v>89.374076490901061</v>
      </c>
      <c r="S436" s="1">
        <v>0</v>
      </c>
      <c r="T436" s="1">
        <v>-0.5106183233204048</v>
      </c>
      <c r="U436" s="14">
        <v>-0.5106183233204048</v>
      </c>
    </row>
    <row r="437" spans="17:21" x14ac:dyDescent="0.2">
      <c r="Q437" s="23">
        <v>436</v>
      </c>
      <c r="R437" s="9">
        <v>103.85925774825027</v>
      </c>
      <c r="S437" s="1">
        <v>3.8592617482501907</v>
      </c>
      <c r="T437" s="1">
        <v>4.5311403681748175</v>
      </c>
      <c r="U437" s="14">
        <v>0.67187861992462672</v>
      </c>
    </row>
    <row r="438" spans="17:21" x14ac:dyDescent="0.2">
      <c r="Q438" s="23">
        <v>437</v>
      </c>
      <c r="R438" s="9">
        <v>80.88216862798221</v>
      </c>
      <c r="S438" s="1">
        <v>0</v>
      </c>
      <c r="T438" s="1">
        <v>0.39207990992560754</v>
      </c>
      <c r="U438" s="14">
        <v>0.39207990992560754</v>
      </c>
    </row>
    <row r="439" spans="17:21" x14ac:dyDescent="0.2">
      <c r="Q439" s="23">
        <v>438</v>
      </c>
      <c r="R439" s="9">
        <v>119.44010402505428</v>
      </c>
      <c r="S439" s="1">
        <v>19.440108025054201</v>
      </c>
      <c r="T439" s="1">
        <v>20.633821599704092</v>
      </c>
      <c r="U439" s="14">
        <v>1.193713574649891</v>
      </c>
    </row>
    <row r="440" spans="17:21" x14ac:dyDescent="0.2">
      <c r="Q440" s="23">
        <v>439</v>
      </c>
      <c r="R440" s="9">
        <v>134.59669271326348</v>
      </c>
      <c r="S440" s="1">
        <v>34.596696713263398</v>
      </c>
      <c r="T440" s="1">
        <v>33.467528807691849</v>
      </c>
      <c r="U440" s="14">
        <v>-1.1291679055715491</v>
      </c>
    </row>
    <row r="441" spans="17:21" x14ac:dyDescent="0.2">
      <c r="Q441" s="23">
        <v>440</v>
      </c>
      <c r="R441" s="9">
        <v>92.180266951278412</v>
      </c>
      <c r="S441" s="1">
        <v>0</v>
      </c>
      <c r="T441" s="1">
        <v>1.7308145085367013</v>
      </c>
      <c r="U441" s="14">
        <v>1.7308145085367013</v>
      </c>
    </row>
    <row r="442" spans="17:21" x14ac:dyDescent="0.2">
      <c r="Q442" s="23">
        <v>441</v>
      </c>
      <c r="R442" s="9">
        <v>105.76736983193085</v>
      </c>
      <c r="S442" s="1">
        <v>5.7673738319307688</v>
      </c>
      <c r="T442" s="1">
        <v>5.0030061940931745</v>
      </c>
      <c r="U442" s="14">
        <v>-0.76436763783759432</v>
      </c>
    </row>
    <row r="443" spans="17:21" x14ac:dyDescent="0.2">
      <c r="Q443" s="23">
        <v>442</v>
      </c>
      <c r="R443" s="9">
        <v>104.47447424263699</v>
      </c>
      <c r="S443" s="1">
        <v>4.4744782426369056</v>
      </c>
      <c r="T443" s="1">
        <v>3.4675619365732899</v>
      </c>
      <c r="U443" s="14">
        <v>-1.0069163060636157</v>
      </c>
    </row>
    <row r="444" spans="17:21" x14ac:dyDescent="0.2">
      <c r="Q444" s="23">
        <v>443</v>
      </c>
      <c r="R444" s="9">
        <v>80.930486018647173</v>
      </c>
      <c r="S444" s="1">
        <v>0</v>
      </c>
      <c r="T444" s="1">
        <v>-2.2469518998411595</v>
      </c>
      <c r="U444" s="14">
        <v>-2.2469518998411595</v>
      </c>
    </row>
    <row r="445" spans="17:21" x14ac:dyDescent="0.2">
      <c r="Q445" s="23">
        <v>444</v>
      </c>
      <c r="R445" s="9">
        <v>110.07785431382061</v>
      </c>
      <c r="S445" s="1">
        <v>10.077858313820528</v>
      </c>
      <c r="T445" s="1">
        <v>9.9060260962896791</v>
      </c>
      <c r="U445" s="14">
        <v>-0.17183221753084865</v>
      </c>
    </row>
    <row r="446" spans="17:21" x14ac:dyDescent="0.2">
      <c r="Q446" s="23">
        <v>445</v>
      </c>
      <c r="R446" s="9">
        <v>109.14225648208705</v>
      </c>
      <c r="S446" s="1">
        <v>9.142260482086968</v>
      </c>
      <c r="T446" s="1">
        <v>7.7196243656484569</v>
      </c>
      <c r="U446" s="14">
        <v>-1.4226361164385111</v>
      </c>
    </row>
    <row r="447" spans="17:21" x14ac:dyDescent="0.2">
      <c r="Q447" s="23">
        <v>446</v>
      </c>
      <c r="R447" s="9">
        <v>113.52590483066326</v>
      </c>
      <c r="S447" s="1">
        <v>13.525908830663184</v>
      </c>
      <c r="T447" s="1">
        <v>13.100095790670039</v>
      </c>
      <c r="U447" s="14">
        <v>-0.42581303999314457</v>
      </c>
    </row>
    <row r="448" spans="17:21" x14ac:dyDescent="0.2">
      <c r="Q448" s="23">
        <v>447</v>
      </c>
      <c r="R448" s="9">
        <v>137.8291408209063</v>
      </c>
      <c r="S448" s="1">
        <v>37.829144820906222</v>
      </c>
      <c r="T448" s="1">
        <v>37.360513875063958</v>
      </c>
      <c r="U448" s="14">
        <v>-0.46863094584226417</v>
      </c>
    </row>
    <row r="449" spans="17:21" x14ac:dyDescent="0.2">
      <c r="Q449" s="23">
        <v>448</v>
      </c>
      <c r="R449" s="9">
        <v>102.67598346672698</v>
      </c>
      <c r="S449" s="1">
        <v>2.6759874667268946</v>
      </c>
      <c r="T449" s="1">
        <v>3.6100855027925576</v>
      </c>
      <c r="U449" s="14">
        <v>0.934098036065663</v>
      </c>
    </row>
    <row r="450" spans="17:21" x14ac:dyDescent="0.2">
      <c r="Q450" s="23">
        <v>449</v>
      </c>
      <c r="R450" s="9">
        <v>89.652426093022967</v>
      </c>
      <c r="S450" s="1">
        <v>0</v>
      </c>
      <c r="T450" s="1">
        <v>-1.526747588273619</v>
      </c>
      <c r="U450" s="14">
        <v>-1.526747588273619</v>
      </c>
    </row>
    <row r="451" spans="17:21" x14ac:dyDescent="0.2">
      <c r="Q451" s="23">
        <v>450</v>
      </c>
      <c r="R451" s="9">
        <v>166.38729493755821</v>
      </c>
      <c r="S451" s="1">
        <v>66.387298937558128</v>
      </c>
      <c r="T451" s="1">
        <v>65.249109572597817</v>
      </c>
      <c r="U451" s="14">
        <v>-1.1381893649603114</v>
      </c>
    </row>
    <row r="452" spans="17:21" x14ac:dyDescent="0.2">
      <c r="Q452" s="23">
        <v>451</v>
      </c>
      <c r="R452" s="9">
        <v>82.457889413052641</v>
      </c>
      <c r="S452" s="1">
        <v>0</v>
      </c>
      <c r="T452" s="1">
        <v>-0.48877400353835887</v>
      </c>
      <c r="U452" s="14">
        <v>-0.48877400353835887</v>
      </c>
    </row>
    <row r="453" spans="17:21" x14ac:dyDescent="0.2">
      <c r="Q453" s="23">
        <v>452</v>
      </c>
      <c r="R453" s="9">
        <v>124.22163192092056</v>
      </c>
      <c r="S453" s="1">
        <v>24.221635920920477</v>
      </c>
      <c r="T453" s="1">
        <v>23.333036775918089</v>
      </c>
      <c r="U453" s="14">
        <v>-0.88859914500238801</v>
      </c>
    </row>
    <row r="454" spans="17:21" x14ac:dyDescent="0.2">
      <c r="Q454" s="23">
        <v>453</v>
      </c>
      <c r="R454" s="9">
        <v>84.900142988521509</v>
      </c>
      <c r="S454" s="1">
        <v>0</v>
      </c>
      <c r="T454" s="1">
        <v>-1.1183909061670514</v>
      </c>
      <c r="U454" s="14">
        <v>-1.1183909061670514</v>
      </c>
    </row>
    <row r="455" spans="17:21" x14ac:dyDescent="0.2">
      <c r="Q455" s="23">
        <v>454</v>
      </c>
      <c r="R455" s="9">
        <v>130.51362707440228</v>
      </c>
      <c r="S455" s="1">
        <v>30.513631074402198</v>
      </c>
      <c r="T455" s="1">
        <v>29.935821838478333</v>
      </c>
      <c r="U455" s="14">
        <v>-0.57780923592386557</v>
      </c>
    </row>
    <row r="456" spans="17:21" x14ac:dyDescent="0.2">
      <c r="Q456" s="23">
        <v>455</v>
      </c>
      <c r="R456" s="9">
        <v>98.010943929828329</v>
      </c>
      <c r="S456" s="1">
        <v>0</v>
      </c>
      <c r="T456" s="1">
        <v>0.304298352534218</v>
      </c>
      <c r="U456" s="14">
        <v>0.304298352534218</v>
      </c>
    </row>
    <row r="457" spans="17:21" x14ac:dyDescent="0.2">
      <c r="Q457" s="23">
        <v>456</v>
      </c>
      <c r="R457" s="9">
        <v>115.37708287228217</v>
      </c>
      <c r="S457" s="1">
        <v>15.377086872282092</v>
      </c>
      <c r="T457" s="1">
        <v>16.062892331071865</v>
      </c>
      <c r="U457" s="14">
        <v>0.68580545878977262</v>
      </c>
    </row>
    <row r="458" spans="17:21" x14ac:dyDescent="0.2">
      <c r="Q458" s="23">
        <v>457</v>
      </c>
      <c r="R458" s="9">
        <v>124.89153635195322</v>
      </c>
      <c r="S458" s="1">
        <v>24.89154035195314</v>
      </c>
      <c r="T458" s="1">
        <v>24.581260268689022</v>
      </c>
      <c r="U458" s="14">
        <v>-0.31028008326411793</v>
      </c>
    </row>
    <row r="459" spans="17:21" x14ac:dyDescent="0.2">
      <c r="Q459" s="23">
        <v>458</v>
      </c>
      <c r="R459" s="9">
        <v>140.96242201948988</v>
      </c>
      <c r="S459" s="1">
        <v>40.962426019489797</v>
      </c>
      <c r="T459" s="1">
        <v>41.096573205887552</v>
      </c>
      <c r="U459" s="14">
        <v>0.13414718639775458</v>
      </c>
    </row>
    <row r="460" spans="17:21" x14ac:dyDescent="0.2">
      <c r="Q460" s="23">
        <v>459</v>
      </c>
      <c r="R460" s="9">
        <v>84.140681592028855</v>
      </c>
      <c r="S460" s="1">
        <v>0</v>
      </c>
      <c r="T460" s="1">
        <v>0.11806114330020245</v>
      </c>
      <c r="U460" s="14">
        <v>0.11806114330020245</v>
      </c>
    </row>
    <row r="461" spans="17:21" x14ac:dyDescent="0.2">
      <c r="Q461" s="23">
        <v>460</v>
      </c>
      <c r="R461" s="9">
        <v>131.77932123431458</v>
      </c>
      <c r="S461" s="1">
        <v>31.779325234314499</v>
      </c>
      <c r="T461" s="1">
        <v>31.036168788078101</v>
      </c>
      <c r="U461" s="14">
        <v>-0.74315644623639798</v>
      </c>
    </row>
    <row r="462" spans="17:21" x14ac:dyDescent="0.2">
      <c r="Q462" s="23">
        <v>461</v>
      </c>
      <c r="R462" s="9">
        <v>124.14438657659029</v>
      </c>
      <c r="S462" s="1">
        <v>24.144390576590212</v>
      </c>
      <c r="T462" s="1">
        <v>24.531185159583657</v>
      </c>
      <c r="U462" s="14">
        <v>0.3867945829934456</v>
      </c>
    </row>
    <row r="463" spans="17:21" x14ac:dyDescent="0.2">
      <c r="Q463" s="23">
        <v>462</v>
      </c>
      <c r="R463" s="9">
        <v>105.82625076502724</v>
      </c>
      <c r="S463" s="1">
        <v>5.8262547650271586</v>
      </c>
      <c r="T463" s="1">
        <v>9.2604972151555813</v>
      </c>
      <c r="U463" s="14">
        <v>3.4342424501284228</v>
      </c>
    </row>
    <row r="464" spans="17:21" x14ac:dyDescent="0.2">
      <c r="Q464" s="23">
        <v>463</v>
      </c>
      <c r="R464" s="9">
        <v>93.049874220213084</v>
      </c>
      <c r="S464" s="1">
        <v>0</v>
      </c>
      <c r="T464" s="1">
        <v>0.6072093151687552</v>
      </c>
      <c r="U464" s="14">
        <v>0.6072093151687552</v>
      </c>
    </row>
    <row r="465" spans="17:21" x14ac:dyDescent="0.2">
      <c r="Q465" s="23">
        <v>464</v>
      </c>
      <c r="R465" s="9">
        <v>100.08327557581526</v>
      </c>
      <c r="S465" s="1">
        <v>8.3279644625605442E-2</v>
      </c>
      <c r="T465" s="1">
        <v>3.648581866595606</v>
      </c>
      <c r="U465" s="14">
        <v>3.5653022219700006</v>
      </c>
    </row>
    <row r="466" spans="17:21" x14ac:dyDescent="0.2">
      <c r="Q466" s="23">
        <v>465</v>
      </c>
      <c r="R466" s="9">
        <v>99.798619088216796</v>
      </c>
      <c r="S466" s="1">
        <v>6.6541955732842628E-27</v>
      </c>
      <c r="T466" s="1">
        <v>1.3119101018341883</v>
      </c>
      <c r="U466" s="14">
        <v>1.3119101018341883</v>
      </c>
    </row>
    <row r="467" spans="17:21" x14ac:dyDescent="0.2">
      <c r="Q467" s="23">
        <v>466</v>
      </c>
      <c r="R467" s="9">
        <v>86.645991187046647</v>
      </c>
      <c r="S467" s="1">
        <v>0</v>
      </c>
      <c r="T467" s="1">
        <v>0.24957591196598364</v>
      </c>
      <c r="U467" s="14">
        <v>0.24957591196598364</v>
      </c>
    </row>
    <row r="468" spans="17:21" x14ac:dyDescent="0.2">
      <c r="Q468" s="23">
        <v>467</v>
      </c>
      <c r="R468" s="9">
        <v>89.042286575050014</v>
      </c>
      <c r="S468" s="1">
        <v>0</v>
      </c>
      <c r="T468" s="1">
        <v>1.4536972770983039</v>
      </c>
      <c r="U468" s="14">
        <v>1.4536972770983039</v>
      </c>
    </row>
    <row r="469" spans="17:21" x14ac:dyDescent="0.2">
      <c r="Q469" s="23">
        <v>468</v>
      </c>
      <c r="R469" s="9">
        <v>86.553059530580768</v>
      </c>
      <c r="S469" s="1">
        <v>0</v>
      </c>
      <c r="T469" s="1">
        <v>-3.6305472044378666</v>
      </c>
      <c r="U469" s="14">
        <v>-3.6305472044378666</v>
      </c>
    </row>
    <row r="470" spans="17:21" x14ac:dyDescent="0.2">
      <c r="Q470" s="23">
        <v>469</v>
      </c>
      <c r="R470" s="9">
        <v>106.16308986918777</v>
      </c>
      <c r="S470" s="1">
        <v>6.1630938691876906</v>
      </c>
      <c r="T470" s="1">
        <v>5.2584969162553676</v>
      </c>
      <c r="U470" s="14">
        <v>-0.90459695293232301</v>
      </c>
    </row>
    <row r="471" spans="17:21" x14ac:dyDescent="0.2">
      <c r="Q471" s="23">
        <v>470</v>
      </c>
      <c r="R471" s="9">
        <v>87.560888752025022</v>
      </c>
      <c r="S471" s="1">
        <v>0</v>
      </c>
      <c r="T471" s="1">
        <v>1.9408183889413084</v>
      </c>
      <c r="U471" s="14">
        <v>1.9408183889413084</v>
      </c>
    </row>
    <row r="472" spans="17:21" x14ac:dyDescent="0.2">
      <c r="Q472" s="23">
        <v>471</v>
      </c>
      <c r="R472" s="9">
        <v>112.62635184177327</v>
      </c>
      <c r="S472" s="1">
        <v>12.62635584177319</v>
      </c>
      <c r="T472" s="1">
        <v>14.072910476854858</v>
      </c>
      <c r="U472" s="14">
        <v>1.446554635081668</v>
      </c>
    </row>
    <row r="473" spans="17:21" x14ac:dyDescent="0.2">
      <c r="Q473" s="23">
        <v>472</v>
      </c>
      <c r="R473" s="9">
        <v>131.80309386711707</v>
      </c>
      <c r="S473" s="1">
        <v>31.803097867116989</v>
      </c>
      <c r="T473" s="1">
        <v>32.390056658755469</v>
      </c>
      <c r="U473" s="14">
        <v>0.58695879163848019</v>
      </c>
    </row>
    <row r="474" spans="17:21" x14ac:dyDescent="0.2">
      <c r="Q474" s="23">
        <v>473</v>
      </c>
      <c r="R474" s="9">
        <v>80.326899143061041</v>
      </c>
      <c r="S474" s="1">
        <v>0</v>
      </c>
      <c r="T474" s="1">
        <v>0.53309648384749797</v>
      </c>
      <c r="U474" s="14">
        <v>0.53309648384749797</v>
      </c>
    </row>
    <row r="475" spans="17:21" x14ac:dyDescent="0.2">
      <c r="Q475" s="23">
        <v>474</v>
      </c>
      <c r="R475" s="9">
        <v>154.346091667667</v>
      </c>
      <c r="S475" s="1">
        <v>54.346095667666916</v>
      </c>
      <c r="T475" s="1">
        <v>53.313473039918136</v>
      </c>
      <c r="U475" s="14">
        <v>-1.0326226277487791</v>
      </c>
    </row>
    <row r="476" spans="17:21" x14ac:dyDescent="0.2">
      <c r="Q476" s="23">
        <v>475</v>
      </c>
      <c r="R476" s="9">
        <v>87.05901131149696</v>
      </c>
      <c r="S476" s="1">
        <v>0</v>
      </c>
      <c r="T476" s="1">
        <v>1.2396955249091701</v>
      </c>
      <c r="U476" s="14">
        <v>1.2396955249091701</v>
      </c>
    </row>
    <row r="477" spans="17:21" x14ac:dyDescent="0.2">
      <c r="Q477" s="23">
        <v>476</v>
      </c>
      <c r="R477" s="9">
        <v>99.05801776072569</v>
      </c>
      <c r="S477" s="1">
        <v>0</v>
      </c>
      <c r="T477" s="1">
        <v>1.4678776829872078</v>
      </c>
      <c r="U477" s="14">
        <v>1.4678776829872078</v>
      </c>
    </row>
    <row r="478" spans="17:21" x14ac:dyDescent="0.2">
      <c r="Q478" s="23">
        <v>477</v>
      </c>
      <c r="R478" s="9">
        <v>94.177259866595477</v>
      </c>
      <c r="S478" s="1">
        <v>0</v>
      </c>
      <c r="T478" s="1">
        <v>-1.3889177268495185</v>
      </c>
      <c r="U478" s="14">
        <v>-1.3889177268495185</v>
      </c>
    </row>
    <row r="479" spans="17:21" x14ac:dyDescent="0.2">
      <c r="Q479" s="23">
        <v>478</v>
      </c>
      <c r="R479" s="9">
        <v>108.3576790793104</v>
      </c>
      <c r="S479" s="1">
        <v>8.3576830793103198</v>
      </c>
      <c r="T479" s="1">
        <v>8.5211016727495661</v>
      </c>
      <c r="U479" s="14">
        <v>0.16341859343924625</v>
      </c>
    </row>
    <row r="480" spans="17:21" x14ac:dyDescent="0.2">
      <c r="Q480" s="23">
        <v>479</v>
      </c>
      <c r="R480" s="9">
        <v>86.258694491190298</v>
      </c>
      <c r="S480" s="1">
        <v>0</v>
      </c>
      <c r="T480" s="1">
        <v>-2.8637011785247797</v>
      </c>
      <c r="U480" s="14">
        <v>-2.8637011785247797</v>
      </c>
    </row>
    <row r="481" spans="17:21" x14ac:dyDescent="0.2">
      <c r="Q481" s="23">
        <v>480</v>
      </c>
      <c r="R481" s="9">
        <v>122.26644356620659</v>
      </c>
      <c r="S481" s="1">
        <v>22.266447566206509</v>
      </c>
      <c r="T481" s="1">
        <v>22.780339086611221</v>
      </c>
      <c r="U481" s="14">
        <v>0.51389152040471231</v>
      </c>
    </row>
    <row r="482" spans="17:21" x14ac:dyDescent="0.2">
      <c r="Q482" s="23">
        <v>481</v>
      </c>
      <c r="R482" s="9">
        <v>99.627077807780381</v>
      </c>
      <c r="S482" s="1">
        <v>3.77194107855233E-81</v>
      </c>
      <c r="T482" s="1">
        <v>4.1020115236953245</v>
      </c>
      <c r="U482" s="14">
        <v>4.1020115236953245</v>
      </c>
    </row>
    <row r="483" spans="17:21" x14ac:dyDescent="0.2">
      <c r="Q483" s="23">
        <v>482</v>
      </c>
      <c r="R483" s="9">
        <v>111.74926473465935</v>
      </c>
      <c r="S483" s="1">
        <v>11.749268734659267</v>
      </c>
      <c r="T483" s="1">
        <v>10.874972918307847</v>
      </c>
      <c r="U483" s="14">
        <v>-0.87429581635142029</v>
      </c>
    </row>
    <row r="484" spans="17:21" x14ac:dyDescent="0.2">
      <c r="Q484" s="23">
        <v>483</v>
      </c>
      <c r="R484" s="9">
        <v>106.43154878220032</v>
      </c>
      <c r="S484" s="1">
        <v>6.4315527822002423</v>
      </c>
      <c r="T484" s="1">
        <v>3.7872039094113177</v>
      </c>
      <c r="U484" s="14">
        <v>-2.6443488727889246</v>
      </c>
    </row>
    <row r="485" spans="17:21" x14ac:dyDescent="0.2">
      <c r="Q485" s="23">
        <v>484</v>
      </c>
      <c r="R485" s="9">
        <v>99.926976243230797</v>
      </c>
      <c r="S485" s="1">
        <v>6.3123684740373776E-7</v>
      </c>
      <c r="T485" s="1">
        <v>4.6329478974446276</v>
      </c>
      <c r="U485" s="14">
        <v>4.63294726620778</v>
      </c>
    </row>
    <row r="486" spans="17:21" x14ac:dyDescent="0.2">
      <c r="Q486" s="23">
        <v>485</v>
      </c>
      <c r="R486" s="9">
        <v>100.64424884595833</v>
      </c>
      <c r="S486" s="1">
        <v>0.64425284595824905</v>
      </c>
      <c r="T486" s="1">
        <v>0.68355549123920412</v>
      </c>
      <c r="U486" s="14">
        <v>3.9302645280955062E-2</v>
      </c>
    </row>
    <row r="487" spans="17:21" x14ac:dyDescent="0.2">
      <c r="Q487" s="23">
        <v>486</v>
      </c>
      <c r="R487" s="9">
        <v>87.358662518598521</v>
      </c>
      <c r="S487" s="1">
        <v>0</v>
      </c>
      <c r="T487" s="1">
        <v>1.4765320942122764</v>
      </c>
      <c r="U487" s="14">
        <v>1.4765320942122764</v>
      </c>
    </row>
    <row r="488" spans="17:21" x14ac:dyDescent="0.2">
      <c r="Q488" s="23">
        <v>487</v>
      </c>
      <c r="R488" s="9">
        <v>104.27024457810073</v>
      </c>
      <c r="S488" s="1">
        <v>4.2702485781006487</v>
      </c>
      <c r="T488" s="1">
        <v>7.8338336629986856</v>
      </c>
      <c r="U488" s="14">
        <v>3.5635850848980368</v>
      </c>
    </row>
    <row r="489" spans="17:21" x14ac:dyDescent="0.2">
      <c r="Q489" s="23">
        <v>488</v>
      </c>
      <c r="R489" s="9">
        <v>104.23750530175795</v>
      </c>
      <c r="S489" s="1">
        <v>4.2375093017578678</v>
      </c>
      <c r="T489" s="1">
        <v>4.2030299009717993</v>
      </c>
      <c r="U489" s="14">
        <v>-3.4479400786068481E-2</v>
      </c>
    </row>
    <row r="490" spans="17:21" x14ac:dyDescent="0.2">
      <c r="Q490" s="23">
        <v>489</v>
      </c>
      <c r="R490" s="9">
        <v>112.83021648315506</v>
      </c>
      <c r="S490" s="1">
        <v>12.830220483154974</v>
      </c>
      <c r="T490" s="1">
        <v>11.296416902760029</v>
      </c>
      <c r="U490" s="14">
        <v>-1.5338035803949452</v>
      </c>
    </row>
    <row r="491" spans="17:21" x14ac:dyDescent="0.2">
      <c r="Q491" s="23">
        <v>490</v>
      </c>
      <c r="R491" s="9">
        <v>80.886855309997145</v>
      </c>
      <c r="S491" s="1">
        <v>0</v>
      </c>
      <c r="T491" s="1">
        <v>0.11247576908054291</v>
      </c>
      <c r="U491" s="14">
        <v>0.11247576908054291</v>
      </c>
    </row>
    <row r="492" spans="17:21" x14ac:dyDescent="0.2">
      <c r="Q492" s="23">
        <v>491</v>
      </c>
      <c r="R492" s="9">
        <v>162.45077166122351</v>
      </c>
      <c r="S492" s="1">
        <v>62.450775661223432</v>
      </c>
      <c r="T492" s="1">
        <v>61.875431533927923</v>
      </c>
      <c r="U492" s="14">
        <v>-0.57534412729550866</v>
      </c>
    </row>
    <row r="493" spans="17:21" x14ac:dyDescent="0.2">
      <c r="Q493" s="23">
        <v>492</v>
      </c>
      <c r="R493" s="9">
        <v>83.160219495048537</v>
      </c>
      <c r="S493" s="1">
        <v>0</v>
      </c>
      <c r="T493" s="1">
        <v>0.4448524076468594</v>
      </c>
      <c r="U493" s="14">
        <v>0.4448524076468594</v>
      </c>
    </row>
    <row r="494" spans="17:21" x14ac:dyDescent="0.2">
      <c r="Q494" s="23">
        <v>493</v>
      </c>
      <c r="R494" s="9">
        <v>114.20638674847879</v>
      </c>
      <c r="S494" s="1">
        <v>14.206390748478711</v>
      </c>
      <c r="T494" s="1">
        <v>14.435308744981924</v>
      </c>
      <c r="U494" s="14">
        <v>0.22891799650321332</v>
      </c>
    </row>
    <row r="495" spans="17:21" x14ac:dyDescent="0.2">
      <c r="Q495" s="23">
        <v>494</v>
      </c>
      <c r="R495" s="9">
        <v>120.04871449318519</v>
      </c>
      <c r="S495" s="1">
        <v>20.048718493185106</v>
      </c>
      <c r="T495" s="1">
        <v>20.132700414288351</v>
      </c>
      <c r="U495" s="14">
        <v>8.3981921103244872E-2</v>
      </c>
    </row>
    <row r="496" spans="17:21" x14ac:dyDescent="0.2">
      <c r="Q496" s="23">
        <v>495</v>
      </c>
      <c r="R496" s="9">
        <v>86.086277559386076</v>
      </c>
      <c r="S496" s="1">
        <v>0</v>
      </c>
      <c r="T496" s="1">
        <v>-0.43663204961943869</v>
      </c>
      <c r="U496" s="14">
        <v>-0.43663204961943869</v>
      </c>
    </row>
    <row r="497" spans="17:21" x14ac:dyDescent="0.2">
      <c r="Q497" s="23">
        <v>496</v>
      </c>
      <c r="R497" s="9">
        <v>148.20368794145116</v>
      </c>
      <c r="S497" s="1">
        <v>48.203691941451083</v>
      </c>
      <c r="T497" s="1">
        <v>47.336221577337412</v>
      </c>
      <c r="U497" s="14">
        <v>-0.86747036411367162</v>
      </c>
    </row>
    <row r="498" spans="17:21" x14ac:dyDescent="0.2">
      <c r="Q498" s="23">
        <v>497</v>
      </c>
      <c r="R498" s="9">
        <v>99.526545007003222</v>
      </c>
      <c r="S498" s="1">
        <v>7.6269842453612924E-128</v>
      </c>
      <c r="T498" s="1">
        <v>1.8631014434876221</v>
      </c>
      <c r="U498" s="14">
        <v>1.8631014434876221</v>
      </c>
    </row>
    <row r="499" spans="17:21" x14ac:dyDescent="0.2">
      <c r="Q499" s="23">
        <v>498</v>
      </c>
      <c r="R499" s="9">
        <v>91.326760259815885</v>
      </c>
      <c r="S499" s="1">
        <v>0</v>
      </c>
      <c r="T499" s="1">
        <v>1.8426614871140798</v>
      </c>
      <c r="U499" s="14">
        <v>1.8426614871140798</v>
      </c>
    </row>
    <row r="500" spans="17:21" x14ac:dyDescent="0.2">
      <c r="Q500" s="23">
        <v>499</v>
      </c>
      <c r="R500" s="9">
        <v>121.62274547118757</v>
      </c>
      <c r="S500" s="1">
        <v>21.62274947118749</v>
      </c>
      <c r="T500" s="1">
        <v>22.239743791972941</v>
      </c>
      <c r="U500" s="14">
        <v>0.61699432078545158</v>
      </c>
    </row>
    <row r="501" spans="17:21" x14ac:dyDescent="0.2">
      <c r="Q501" s="23">
        <v>500</v>
      </c>
      <c r="R501" s="9">
        <v>133.33089200759491</v>
      </c>
      <c r="S501" s="1">
        <v>33.330896007594831</v>
      </c>
      <c r="T501" s="1">
        <v>34.124676950552214</v>
      </c>
      <c r="U501" s="14">
        <v>0.79378094295738322</v>
      </c>
    </row>
    <row r="502" spans="17:21" x14ac:dyDescent="0.2">
      <c r="Q502" s="23">
        <v>501</v>
      </c>
      <c r="R502" s="9">
        <v>93.261591947238585</v>
      </c>
      <c r="S502" s="1">
        <v>0</v>
      </c>
      <c r="T502" s="1">
        <v>1.8660699089916521</v>
      </c>
      <c r="U502" s="14">
        <v>1.8660699089916521</v>
      </c>
    </row>
    <row r="503" spans="17:21" x14ac:dyDescent="0.2">
      <c r="Q503" s="23">
        <v>502</v>
      </c>
      <c r="R503" s="9">
        <v>88.804693024381919</v>
      </c>
      <c r="S503" s="1">
        <v>0</v>
      </c>
      <c r="T503" s="1">
        <v>2.4033089728818999</v>
      </c>
      <c r="U503" s="14">
        <v>2.4033089728818999</v>
      </c>
    </row>
    <row r="504" spans="17:21" x14ac:dyDescent="0.2">
      <c r="Q504" s="23">
        <v>503</v>
      </c>
      <c r="R504" s="9">
        <v>142.33739934621283</v>
      </c>
      <c r="S504" s="1">
        <v>42.337403346212753</v>
      </c>
      <c r="T504" s="1">
        <v>43.579158849569964</v>
      </c>
      <c r="U504" s="14">
        <v>1.2417555033572114</v>
      </c>
    </row>
    <row r="505" spans="17:21" x14ac:dyDescent="0.2">
      <c r="Q505" s="23">
        <v>504</v>
      </c>
      <c r="R505" s="9">
        <v>89.595620354677209</v>
      </c>
      <c r="S505" s="1">
        <v>0</v>
      </c>
      <c r="T505" s="1">
        <v>0.43103920725600053</v>
      </c>
      <c r="U505" s="14">
        <v>0.43103920725600053</v>
      </c>
    </row>
    <row r="506" spans="17:21" x14ac:dyDescent="0.2">
      <c r="Q506" s="23">
        <v>505</v>
      </c>
      <c r="R506" s="9">
        <v>74.125365703681453</v>
      </c>
      <c r="S506" s="1">
        <v>0</v>
      </c>
      <c r="T506" s="1">
        <v>-0.19777275875374864</v>
      </c>
      <c r="U506" s="14">
        <v>-0.19777275875374864</v>
      </c>
    </row>
    <row r="507" spans="17:21" x14ac:dyDescent="0.2">
      <c r="Q507" s="23">
        <v>506</v>
      </c>
      <c r="R507" s="9">
        <v>75.720480560399849</v>
      </c>
      <c r="S507" s="1">
        <v>0</v>
      </c>
      <c r="T507" s="1">
        <v>0.15549227358901885</v>
      </c>
      <c r="U507" s="14">
        <v>0.15549227358901885</v>
      </c>
    </row>
    <row r="508" spans="17:21" x14ac:dyDescent="0.2">
      <c r="Q508" s="23">
        <v>507</v>
      </c>
      <c r="R508" s="9">
        <v>96.607440140429489</v>
      </c>
      <c r="S508" s="1">
        <v>0</v>
      </c>
      <c r="T508" s="1">
        <v>6.7646662867165475E-2</v>
      </c>
      <c r="U508" s="14">
        <v>6.7646662867165475E-2</v>
      </c>
    </row>
    <row r="509" spans="17:21" x14ac:dyDescent="0.2">
      <c r="Q509" s="23">
        <v>508</v>
      </c>
      <c r="R509" s="9">
        <v>115.40715896431315</v>
      </c>
      <c r="S509" s="1">
        <v>15.407162964313073</v>
      </c>
      <c r="T509" s="1">
        <v>14.101899304504968</v>
      </c>
      <c r="U509" s="14">
        <v>-1.3052636598081051</v>
      </c>
    </row>
    <row r="510" spans="17:21" x14ac:dyDescent="0.2">
      <c r="Q510" s="23">
        <v>509</v>
      </c>
      <c r="R510" s="9">
        <v>101.63761216434634</v>
      </c>
      <c r="S510" s="1">
        <v>1.6376161643462552</v>
      </c>
      <c r="T510" s="1">
        <v>4.8833444882389472</v>
      </c>
      <c r="U510" s="14">
        <v>3.2457283238926919</v>
      </c>
    </row>
    <row r="511" spans="17:21" x14ac:dyDescent="0.2">
      <c r="Q511" s="23">
        <v>510</v>
      </c>
      <c r="R511" s="9">
        <v>138.59090737325289</v>
      </c>
      <c r="S511" s="1">
        <v>38.590911373252808</v>
      </c>
      <c r="T511" s="1">
        <v>37.540482053708772</v>
      </c>
      <c r="U511" s="14">
        <v>-1.0504293195440368</v>
      </c>
    </row>
    <row r="512" spans="17:21" x14ac:dyDescent="0.2">
      <c r="Q512" s="23">
        <v>511</v>
      </c>
      <c r="R512" s="9">
        <v>73.283950292111697</v>
      </c>
      <c r="S512" s="1">
        <v>0</v>
      </c>
      <c r="T512" s="1">
        <v>-0.20251222089322463</v>
      </c>
      <c r="U512" s="14">
        <v>-0.20251222089322463</v>
      </c>
    </row>
    <row r="513" spans="17:21" x14ac:dyDescent="0.2">
      <c r="Q513" s="23">
        <v>512</v>
      </c>
      <c r="R513" s="9">
        <v>78.886905830486526</v>
      </c>
      <c r="S513" s="1">
        <v>0</v>
      </c>
      <c r="T513" s="1">
        <v>-0.34306388374602814</v>
      </c>
      <c r="U513" s="14">
        <v>-0.34306388374602814</v>
      </c>
    </row>
    <row r="514" spans="17:21" x14ac:dyDescent="0.2">
      <c r="Q514" s="23">
        <v>513</v>
      </c>
      <c r="R514" s="9">
        <v>125.45343803676808</v>
      </c>
      <c r="S514" s="1">
        <v>25.453442036767996</v>
      </c>
      <c r="T514" s="1">
        <v>25.523433324903579</v>
      </c>
      <c r="U514" s="14">
        <v>6.9991288135582863E-2</v>
      </c>
    </row>
    <row r="515" spans="17:21" x14ac:dyDescent="0.2">
      <c r="Q515" s="23">
        <v>514</v>
      </c>
      <c r="R515" s="9">
        <v>94.77931984081475</v>
      </c>
      <c r="S515" s="1">
        <v>0</v>
      </c>
      <c r="T515" s="1">
        <v>-3.3962947786909012</v>
      </c>
      <c r="U515" s="14">
        <v>-3.3962947786909012</v>
      </c>
    </row>
    <row r="516" spans="17:21" x14ac:dyDescent="0.2">
      <c r="Q516" s="23">
        <v>515</v>
      </c>
      <c r="R516" s="9">
        <v>115.43268151329062</v>
      </c>
      <c r="S516" s="1">
        <v>15.432685513290537</v>
      </c>
      <c r="T516" s="1">
        <v>15.314701152924073</v>
      </c>
      <c r="U516" s="14">
        <v>-0.11798436036646365</v>
      </c>
    </row>
    <row r="517" spans="17:21" x14ac:dyDescent="0.2">
      <c r="Q517" s="23">
        <v>516</v>
      </c>
      <c r="R517" s="9">
        <v>81.627643168471081</v>
      </c>
      <c r="S517" s="1">
        <v>0</v>
      </c>
      <c r="T517" s="1">
        <v>0.58838876701467946</v>
      </c>
      <c r="U517" s="14">
        <v>0.58838876701467946</v>
      </c>
    </row>
    <row r="518" spans="17:21" x14ac:dyDescent="0.2">
      <c r="Q518" s="23">
        <v>517</v>
      </c>
      <c r="R518" s="9">
        <v>74.387368028685884</v>
      </c>
      <c r="S518" s="1">
        <v>0</v>
      </c>
      <c r="T518" s="1">
        <v>9.1324605618427687E-2</v>
      </c>
      <c r="U518" s="14">
        <v>9.1324605618427687E-2</v>
      </c>
    </row>
    <row r="519" spans="17:21" x14ac:dyDescent="0.2">
      <c r="Q519" s="23">
        <v>518</v>
      </c>
      <c r="R519" s="9">
        <v>116.83795949399712</v>
      </c>
      <c r="S519" s="1">
        <v>16.837963493997037</v>
      </c>
      <c r="T519" s="1">
        <v>17.784791796613192</v>
      </c>
      <c r="U519" s="14">
        <v>0.94682830261615436</v>
      </c>
    </row>
    <row r="520" spans="17:21" x14ac:dyDescent="0.2">
      <c r="Q520" s="23">
        <v>519</v>
      </c>
      <c r="R520" s="9">
        <v>114.91454988449601</v>
      </c>
      <c r="S520" s="1">
        <v>14.91455388449593</v>
      </c>
      <c r="T520" s="1">
        <v>14.987644063864323</v>
      </c>
      <c r="U520" s="14">
        <v>7.3090179368392683E-2</v>
      </c>
    </row>
    <row r="521" spans="17:21" x14ac:dyDescent="0.2">
      <c r="Q521" s="23">
        <v>520</v>
      </c>
      <c r="R521" s="9">
        <v>108.73205661811747</v>
      </c>
      <c r="S521" s="1">
        <v>8.7320606181173872</v>
      </c>
      <c r="T521" s="1">
        <v>7.8425676428352773</v>
      </c>
      <c r="U521" s="14">
        <v>-0.88949297528210991</v>
      </c>
    </row>
    <row r="522" spans="17:21" x14ac:dyDescent="0.2">
      <c r="Q522" s="23">
        <v>521</v>
      </c>
      <c r="R522" s="9">
        <v>68.395466597900906</v>
      </c>
      <c r="S522" s="1">
        <v>0</v>
      </c>
      <c r="T522" s="1">
        <v>-1.1595533415836312</v>
      </c>
      <c r="U522" s="14">
        <v>-1.1595533415836312</v>
      </c>
    </row>
    <row r="523" spans="17:21" x14ac:dyDescent="0.2">
      <c r="Q523" s="23">
        <v>522</v>
      </c>
      <c r="R523" s="9">
        <v>84.380433360452301</v>
      </c>
      <c r="S523" s="1">
        <v>0</v>
      </c>
      <c r="T523" s="1">
        <v>0.10737502194181842</v>
      </c>
      <c r="U523" s="14">
        <v>0.10737502194181842</v>
      </c>
    </row>
    <row r="524" spans="17:21" x14ac:dyDescent="0.2">
      <c r="Q524" s="23">
        <v>523</v>
      </c>
      <c r="R524" s="9">
        <v>79.234542951554701</v>
      </c>
      <c r="S524" s="1">
        <v>0</v>
      </c>
      <c r="T524" s="1">
        <v>-1.3693027197502958</v>
      </c>
      <c r="U524" s="14">
        <v>-1.3693027197502958</v>
      </c>
    </row>
    <row r="525" spans="17:21" x14ac:dyDescent="0.2">
      <c r="Q525" s="23">
        <v>524</v>
      </c>
      <c r="R525" s="9">
        <v>107.72478731880574</v>
      </c>
      <c r="S525" s="1">
        <v>7.7247913188056572</v>
      </c>
      <c r="T525" s="1">
        <v>7.0163992757046572</v>
      </c>
      <c r="U525" s="14">
        <v>-0.70839204310100001</v>
      </c>
    </row>
    <row r="526" spans="17:21" x14ac:dyDescent="0.2">
      <c r="Q526" s="23">
        <v>525</v>
      </c>
      <c r="R526" s="9">
        <v>137.16140950722283</v>
      </c>
      <c r="S526" s="1">
        <v>37.161413507222747</v>
      </c>
      <c r="T526" s="1">
        <v>36.76645959155924</v>
      </c>
      <c r="U526" s="14">
        <v>-0.3949539156635069</v>
      </c>
    </row>
    <row r="527" spans="17:21" x14ac:dyDescent="0.2">
      <c r="Q527" s="23">
        <v>526</v>
      </c>
      <c r="R527" s="9">
        <v>77.139399381721375</v>
      </c>
      <c r="S527" s="1">
        <v>0</v>
      </c>
      <c r="T527" s="1">
        <v>-0.79629357438906057</v>
      </c>
      <c r="U527" s="14">
        <v>-0.79629357438906057</v>
      </c>
    </row>
    <row r="528" spans="17:21" x14ac:dyDescent="0.2">
      <c r="Q528" s="23">
        <v>527</v>
      </c>
      <c r="R528" s="9">
        <v>98.80573259344871</v>
      </c>
      <c r="S528" s="1">
        <v>0</v>
      </c>
      <c r="T528" s="1">
        <v>2.1016458446322801</v>
      </c>
      <c r="U528" s="14">
        <v>2.1016458446322801</v>
      </c>
    </row>
    <row r="529" spans="17:21" x14ac:dyDescent="0.2">
      <c r="Q529" s="23">
        <v>528</v>
      </c>
      <c r="R529" s="9">
        <v>115.94938925092485</v>
      </c>
      <c r="S529" s="1">
        <v>15.949393250924771</v>
      </c>
      <c r="T529" s="1">
        <v>14.273181824298703</v>
      </c>
      <c r="U529" s="14">
        <v>-1.6762114266260681</v>
      </c>
    </row>
    <row r="530" spans="17:21" x14ac:dyDescent="0.2">
      <c r="Q530" s="23">
        <v>529</v>
      </c>
      <c r="R530" s="9">
        <v>89.813144722501818</v>
      </c>
      <c r="S530" s="1">
        <v>0</v>
      </c>
      <c r="T530" s="1">
        <v>1.3420440493522172</v>
      </c>
      <c r="U530" s="14">
        <v>1.3420440493522172</v>
      </c>
    </row>
    <row r="531" spans="17:21" x14ac:dyDescent="0.2">
      <c r="Q531" s="23">
        <v>530</v>
      </c>
      <c r="R531" s="9">
        <v>136.64803572827645</v>
      </c>
      <c r="S531" s="1">
        <v>36.648039728276373</v>
      </c>
      <c r="T531" s="1">
        <v>37.548246565912365</v>
      </c>
      <c r="U531" s="14">
        <v>0.90020683763599152</v>
      </c>
    </row>
    <row r="532" spans="17:21" x14ac:dyDescent="0.2">
      <c r="Q532" s="23">
        <v>531</v>
      </c>
      <c r="R532" s="9">
        <v>90.075885548879256</v>
      </c>
      <c r="S532" s="1">
        <v>0</v>
      </c>
      <c r="T532" s="1">
        <v>-0.49019448210291072</v>
      </c>
      <c r="U532" s="14">
        <v>-0.49019448210291072</v>
      </c>
    </row>
    <row r="533" spans="17:21" x14ac:dyDescent="0.2">
      <c r="Q533" s="23">
        <v>532</v>
      </c>
      <c r="R533" s="9">
        <v>120.98906135488292</v>
      </c>
      <c r="S533" s="1">
        <v>20.98906535488284</v>
      </c>
      <c r="T533" s="1">
        <v>20.417694560806069</v>
      </c>
      <c r="U533" s="14">
        <v>-0.57137079407677049</v>
      </c>
    </row>
    <row r="534" spans="17:21" x14ac:dyDescent="0.2">
      <c r="Q534" s="23">
        <v>533</v>
      </c>
      <c r="R534" s="9">
        <v>112.79061676623499</v>
      </c>
      <c r="S534" s="1">
        <v>12.790620766234909</v>
      </c>
      <c r="T534" s="1">
        <v>10.46504833152791</v>
      </c>
      <c r="U534" s="14">
        <v>-2.3255724347069986</v>
      </c>
    </row>
    <row r="535" spans="17:21" x14ac:dyDescent="0.2">
      <c r="Q535" s="23">
        <v>534</v>
      </c>
      <c r="R535" s="9">
        <v>95.406760754473879</v>
      </c>
      <c r="S535" s="1">
        <v>0</v>
      </c>
      <c r="T535" s="1">
        <v>9.0968751201266684E-2</v>
      </c>
      <c r="U535" s="14">
        <v>9.0968751201266684E-2</v>
      </c>
    </row>
    <row r="536" spans="17:21" x14ac:dyDescent="0.2">
      <c r="Q536" s="23">
        <v>535</v>
      </c>
      <c r="R536" s="9">
        <v>100.27193481831335</v>
      </c>
      <c r="S536" s="1">
        <v>0.2719388183132736</v>
      </c>
      <c r="T536" s="1">
        <v>0.37658079877087403</v>
      </c>
      <c r="U536" s="14">
        <v>0.10464198045760043</v>
      </c>
    </row>
    <row r="537" spans="17:21" x14ac:dyDescent="0.2">
      <c r="Q537" s="23">
        <v>536</v>
      </c>
      <c r="R537" s="9">
        <v>104.96755068624711</v>
      </c>
      <c r="S537" s="1">
        <v>4.967554686247027</v>
      </c>
      <c r="T537" s="1">
        <v>4.2349232555467893</v>
      </c>
      <c r="U537" s="14">
        <v>-0.73263143070023773</v>
      </c>
    </row>
    <row r="538" spans="17:21" x14ac:dyDescent="0.2">
      <c r="Q538" s="23">
        <v>537</v>
      </c>
      <c r="R538" s="9">
        <v>100.96445598172258</v>
      </c>
      <c r="S538" s="1">
        <v>0.96445998172249858</v>
      </c>
      <c r="T538" s="1">
        <v>1.7636613287884018</v>
      </c>
      <c r="U538" s="14">
        <v>0.79920134706590318</v>
      </c>
    </row>
    <row r="539" spans="17:21" x14ac:dyDescent="0.2">
      <c r="Q539" s="23">
        <v>538</v>
      </c>
      <c r="R539" s="9">
        <v>93.911566739112857</v>
      </c>
      <c r="S539" s="1">
        <v>0</v>
      </c>
      <c r="T539" s="1">
        <v>-0.76342934539135854</v>
      </c>
      <c r="U539" s="14">
        <v>-0.76342934539135854</v>
      </c>
    </row>
    <row r="540" spans="17:21" x14ac:dyDescent="0.2">
      <c r="Q540" s="23">
        <v>539</v>
      </c>
      <c r="R540" s="9">
        <v>85.179479505831821</v>
      </c>
      <c r="S540" s="1">
        <v>0</v>
      </c>
      <c r="T540" s="1">
        <v>0.49370441313163649</v>
      </c>
      <c r="U540" s="14">
        <v>0.49370441313163649</v>
      </c>
    </row>
    <row r="541" spans="17:21" x14ac:dyDescent="0.2">
      <c r="Q541" s="23">
        <v>540</v>
      </c>
      <c r="R541" s="9">
        <v>137.70441711464002</v>
      </c>
      <c r="S541" s="1">
        <v>37.704421114639942</v>
      </c>
      <c r="T541" s="1">
        <v>37.877797767612947</v>
      </c>
      <c r="U541" s="14">
        <v>0.17337665297300475</v>
      </c>
    </row>
    <row r="542" spans="17:21" x14ac:dyDescent="0.2">
      <c r="Q542" s="23">
        <v>541</v>
      </c>
      <c r="R542" s="9">
        <v>113.91210660071741</v>
      </c>
      <c r="S542" s="1">
        <v>13.912110600717327</v>
      </c>
      <c r="T542" s="1">
        <v>11.660755859789347</v>
      </c>
      <c r="U542" s="14">
        <v>-2.2513547409279795</v>
      </c>
    </row>
    <row r="543" spans="17:21" x14ac:dyDescent="0.2">
      <c r="Q543" s="23">
        <v>542</v>
      </c>
      <c r="R543" s="9">
        <v>72.235538187637218</v>
      </c>
      <c r="S543" s="1">
        <v>0</v>
      </c>
      <c r="T543" s="1">
        <v>0.27597779049132581</v>
      </c>
      <c r="U543" s="14">
        <v>0.27597779049132581</v>
      </c>
    </row>
    <row r="544" spans="17:21" x14ac:dyDescent="0.2">
      <c r="Q544" s="23">
        <v>543</v>
      </c>
      <c r="R544" s="9">
        <v>113.13113651441485</v>
      </c>
      <c r="S544" s="1">
        <v>13.131140514414767</v>
      </c>
      <c r="T544" s="1">
        <v>12.573926021380757</v>
      </c>
      <c r="U544" s="14">
        <v>-0.55721449303401016</v>
      </c>
    </row>
    <row r="545" spans="17:21" x14ac:dyDescent="0.2">
      <c r="Q545" s="23">
        <v>544</v>
      </c>
      <c r="R545" s="9">
        <v>98.51182822380558</v>
      </c>
      <c r="S545" s="1">
        <v>0</v>
      </c>
      <c r="T545" s="1">
        <v>1.3705368556710731</v>
      </c>
      <c r="U545" s="14">
        <v>1.3705368556710731</v>
      </c>
    </row>
    <row r="546" spans="17:21" x14ac:dyDescent="0.2">
      <c r="Q546" s="23">
        <v>545</v>
      </c>
      <c r="R546" s="9">
        <v>109.84296783109288</v>
      </c>
      <c r="S546" s="1">
        <v>9.8429718310927967</v>
      </c>
      <c r="T546" s="1">
        <v>7.4728753616212202</v>
      </c>
      <c r="U546" s="14">
        <v>-2.3700964694715765</v>
      </c>
    </row>
    <row r="547" spans="17:21" x14ac:dyDescent="0.2">
      <c r="Q547" s="23">
        <v>546</v>
      </c>
      <c r="R547" s="9">
        <v>92.471873908809883</v>
      </c>
      <c r="S547" s="1">
        <v>0</v>
      </c>
      <c r="T547" s="1">
        <v>-1.8269313995966669</v>
      </c>
      <c r="U547" s="14">
        <v>-1.8269313995966669</v>
      </c>
    </row>
    <row r="548" spans="17:21" x14ac:dyDescent="0.2">
      <c r="Q548" s="23">
        <v>547</v>
      </c>
      <c r="R548" s="9">
        <v>82.814557839557096</v>
      </c>
      <c r="S548" s="1">
        <v>0</v>
      </c>
      <c r="T548" s="1">
        <v>-1.2298659365502265</v>
      </c>
      <c r="U548" s="14">
        <v>-1.2298659365502265</v>
      </c>
    </row>
    <row r="549" spans="17:21" x14ac:dyDescent="0.2">
      <c r="Q549" s="23">
        <v>548</v>
      </c>
      <c r="R549" s="9">
        <v>93.503994618088541</v>
      </c>
      <c r="S549" s="1">
        <v>0</v>
      </c>
      <c r="T549" s="1">
        <v>0.4404416615526392</v>
      </c>
      <c r="U549" s="14">
        <v>0.4404416615526392</v>
      </c>
    </row>
    <row r="550" spans="17:21" x14ac:dyDescent="0.2">
      <c r="Q550" s="23">
        <v>549</v>
      </c>
      <c r="R550" s="9">
        <v>79.422902879990389</v>
      </c>
      <c r="S550" s="1">
        <v>0</v>
      </c>
      <c r="T550" s="1">
        <v>-0.82235905911167007</v>
      </c>
      <c r="U550" s="14">
        <v>-0.82235905911167007</v>
      </c>
    </row>
    <row r="551" spans="17:21" x14ac:dyDescent="0.2">
      <c r="Q551" s="23">
        <v>550</v>
      </c>
      <c r="R551" s="9">
        <v>105.36521743833212</v>
      </c>
      <c r="S551" s="1">
        <v>5.3652214383320427</v>
      </c>
      <c r="T551" s="1">
        <v>6.3402943434477521</v>
      </c>
      <c r="U551" s="14">
        <v>0.97507290511570943</v>
      </c>
    </row>
    <row r="552" spans="17:21" x14ac:dyDescent="0.2">
      <c r="Q552" s="23">
        <v>551</v>
      </c>
      <c r="R552" s="9">
        <v>97.544769093414956</v>
      </c>
      <c r="S552" s="1">
        <v>0</v>
      </c>
      <c r="T552" s="1">
        <v>2.2727917831992031</v>
      </c>
      <c r="U552" s="14">
        <v>2.2727917831992031</v>
      </c>
    </row>
    <row r="553" spans="17:21" x14ac:dyDescent="0.2">
      <c r="Q553" s="23">
        <v>552</v>
      </c>
      <c r="R553" s="9">
        <v>109.32911979570035</v>
      </c>
      <c r="S553" s="1">
        <v>9.3291237957002693</v>
      </c>
      <c r="T553" s="1">
        <v>9.0286673595410036</v>
      </c>
      <c r="U553" s="14">
        <v>-0.30045643615926565</v>
      </c>
    </row>
    <row r="554" spans="17:21" x14ac:dyDescent="0.2">
      <c r="Q554" s="23">
        <v>553</v>
      </c>
      <c r="R554" s="9">
        <v>96.061018357741219</v>
      </c>
      <c r="S554" s="1">
        <v>0</v>
      </c>
      <c r="T554" s="1">
        <v>3.1558115921484085</v>
      </c>
      <c r="U554" s="14">
        <v>3.1558115921484085</v>
      </c>
    </row>
    <row r="555" spans="17:21" x14ac:dyDescent="0.2">
      <c r="Q555" s="23">
        <v>554</v>
      </c>
      <c r="R555" s="9">
        <v>97.655826463568701</v>
      </c>
      <c r="S555" s="1">
        <v>0</v>
      </c>
      <c r="T555" s="1">
        <v>3.2299644492567303</v>
      </c>
      <c r="U555" s="14">
        <v>3.2299644492567303</v>
      </c>
    </row>
    <row r="556" spans="17:21" x14ac:dyDescent="0.2">
      <c r="Q556" s="23">
        <v>555</v>
      </c>
      <c r="R556" s="9">
        <v>112.80196935889751</v>
      </c>
      <c r="S556" s="1">
        <v>12.801973358897428</v>
      </c>
      <c r="T556" s="1">
        <v>11.772643951353587</v>
      </c>
      <c r="U556" s="14">
        <v>-1.0293294075438411</v>
      </c>
    </row>
    <row r="557" spans="17:21" x14ac:dyDescent="0.2">
      <c r="Q557" s="23">
        <v>556</v>
      </c>
      <c r="R557" s="9">
        <v>116.9699298577235</v>
      </c>
      <c r="S557" s="1">
        <v>16.969933857723419</v>
      </c>
      <c r="T557" s="1">
        <v>14.550202561120088</v>
      </c>
      <c r="U557" s="14">
        <v>-2.4197312966033309</v>
      </c>
    </row>
    <row r="558" spans="17:21" x14ac:dyDescent="0.2">
      <c r="Q558" s="23">
        <v>557</v>
      </c>
      <c r="R558" s="9">
        <v>101.63830169040418</v>
      </c>
      <c r="S558" s="1">
        <v>1.6383056904040956</v>
      </c>
      <c r="T558" s="1">
        <v>1.7915062431330426</v>
      </c>
      <c r="U558" s="14">
        <v>0.15320055272894706</v>
      </c>
    </row>
    <row r="559" spans="17:21" x14ac:dyDescent="0.2">
      <c r="Q559" s="23">
        <v>558</v>
      </c>
      <c r="R559" s="9">
        <v>145.00461185555281</v>
      </c>
      <c r="S559" s="1">
        <v>45.004615855552728</v>
      </c>
      <c r="T559" s="1">
        <v>45.830567375609007</v>
      </c>
      <c r="U559" s="14">
        <v>0.82595152005627881</v>
      </c>
    </row>
    <row r="560" spans="17:21" x14ac:dyDescent="0.2">
      <c r="Q560" s="23">
        <v>559</v>
      </c>
      <c r="R560" s="9">
        <v>123.20374646315777</v>
      </c>
      <c r="S560" s="1">
        <v>23.203750463157689</v>
      </c>
      <c r="T560" s="1">
        <v>22.788381063896239</v>
      </c>
      <c r="U560" s="14">
        <v>-0.41536939926145067</v>
      </c>
    </row>
    <row r="561" spans="17:21" x14ac:dyDescent="0.2">
      <c r="Q561" s="23">
        <v>560</v>
      </c>
      <c r="R561" s="9">
        <v>139.55618819189996</v>
      </c>
      <c r="S561" s="1">
        <v>39.556192191899882</v>
      </c>
      <c r="T561" s="1">
        <v>40.400991995863535</v>
      </c>
      <c r="U561" s="14">
        <v>0.84479980396365306</v>
      </c>
    </row>
    <row r="562" spans="17:21" x14ac:dyDescent="0.2">
      <c r="Q562" s="23">
        <v>561</v>
      </c>
      <c r="R562" s="9">
        <v>84.008431081201252</v>
      </c>
      <c r="S562" s="1">
        <v>0</v>
      </c>
      <c r="T562" s="1">
        <v>0.22430067920262295</v>
      </c>
      <c r="U562" s="14">
        <v>0.22430067920262295</v>
      </c>
    </row>
    <row r="563" spans="17:21" x14ac:dyDescent="0.2">
      <c r="Q563" s="23">
        <v>562</v>
      </c>
      <c r="R563" s="9">
        <v>126.86691741104714</v>
      </c>
      <c r="S563" s="1">
        <v>26.866921411047059</v>
      </c>
      <c r="T563" s="1">
        <v>26.509168729173908</v>
      </c>
      <c r="U563" s="14">
        <v>-0.35775268187315135</v>
      </c>
    </row>
    <row r="564" spans="17:21" x14ac:dyDescent="0.2">
      <c r="Q564" s="23">
        <v>563</v>
      </c>
      <c r="R564" s="9">
        <v>75.151421081742853</v>
      </c>
      <c r="S564" s="1">
        <v>0</v>
      </c>
      <c r="T564" s="1">
        <v>-1.2796408022507137</v>
      </c>
      <c r="U564" s="14">
        <v>-1.2796408022507137</v>
      </c>
    </row>
    <row r="565" spans="17:21" x14ac:dyDescent="0.2">
      <c r="Q565" s="23">
        <v>564</v>
      </c>
      <c r="R565" s="9">
        <v>98.111592989470466</v>
      </c>
      <c r="S565" s="1">
        <v>0</v>
      </c>
      <c r="T565" s="1">
        <v>-7.5504561278409987E-2</v>
      </c>
      <c r="U565" s="14">
        <v>-7.5504561278409987E-2</v>
      </c>
    </row>
    <row r="566" spans="17:21" x14ac:dyDescent="0.2">
      <c r="Q566" s="23">
        <v>565</v>
      </c>
      <c r="R566" s="9">
        <v>110.95169554989667</v>
      </c>
      <c r="S566" s="1">
        <v>10.951699549896588</v>
      </c>
      <c r="T566" s="1">
        <v>13.086628065535407</v>
      </c>
      <c r="U566" s="14">
        <v>2.1349285156388191</v>
      </c>
    </row>
    <row r="567" spans="17:21" x14ac:dyDescent="0.2">
      <c r="Q567" s="23">
        <v>566</v>
      </c>
      <c r="R567" s="9">
        <v>148.03372649024203</v>
      </c>
      <c r="S567" s="1">
        <v>48.03373049024195</v>
      </c>
      <c r="T567" s="1">
        <v>47.900760741187</v>
      </c>
      <c r="U567" s="14">
        <v>-0.13296974905495063</v>
      </c>
    </row>
    <row r="568" spans="17:21" x14ac:dyDescent="0.2">
      <c r="Q568" s="23">
        <v>567</v>
      </c>
      <c r="R568" s="9">
        <v>91.287382437532543</v>
      </c>
      <c r="S568" s="1">
        <v>0</v>
      </c>
      <c r="T568" s="1">
        <v>-0.85652471798399432</v>
      </c>
      <c r="U568" s="14">
        <v>-0.85652471798399432</v>
      </c>
    </row>
    <row r="569" spans="17:21" x14ac:dyDescent="0.2">
      <c r="Q569" s="23">
        <v>568</v>
      </c>
      <c r="R569" s="9">
        <v>126.5529126547127</v>
      </c>
      <c r="S569" s="1">
        <v>26.552916654712618</v>
      </c>
      <c r="T569" s="1">
        <v>25.36214842013878</v>
      </c>
      <c r="U569" s="14">
        <v>-1.190768234573838</v>
      </c>
    </row>
    <row r="570" spans="17:21" x14ac:dyDescent="0.2">
      <c r="Q570" s="23">
        <v>569</v>
      </c>
      <c r="R570" s="9">
        <v>121.47841104875992</v>
      </c>
      <c r="S570" s="1">
        <v>21.478415048759842</v>
      </c>
      <c r="T570" s="1">
        <v>23.377989442529824</v>
      </c>
      <c r="U570" s="14">
        <v>1.8995743937699814</v>
      </c>
    </row>
    <row r="571" spans="17:21" x14ac:dyDescent="0.2">
      <c r="Q571" s="23">
        <v>570</v>
      </c>
      <c r="R571" s="9">
        <v>114.46067253722677</v>
      </c>
      <c r="S571" s="1">
        <v>14.460676537226689</v>
      </c>
      <c r="T571" s="1">
        <v>13.379984256671463</v>
      </c>
      <c r="U571" s="14">
        <v>-1.0806922805552261</v>
      </c>
    </row>
    <row r="572" spans="17:21" x14ac:dyDescent="0.2">
      <c r="Q572" s="23">
        <v>571</v>
      </c>
      <c r="R572" s="9">
        <v>97.456213401541945</v>
      </c>
      <c r="S572" s="1">
        <v>0</v>
      </c>
      <c r="T572" s="1">
        <v>3.0220913561563805</v>
      </c>
      <c r="U572" s="14">
        <v>3.0220913561563805</v>
      </c>
    </row>
    <row r="573" spans="17:21" x14ac:dyDescent="0.2">
      <c r="Q573" s="23">
        <v>572</v>
      </c>
      <c r="R573" s="9">
        <v>88.639852563710164</v>
      </c>
      <c r="S573" s="1">
        <v>0</v>
      </c>
      <c r="T573" s="1">
        <v>-1.0944577436318643</v>
      </c>
      <c r="U573" s="14">
        <v>-1.0944577436318643</v>
      </c>
    </row>
    <row r="574" spans="17:21" x14ac:dyDescent="0.2">
      <c r="Q574" s="23">
        <v>573</v>
      </c>
      <c r="R574" s="9">
        <v>126.39558297541775</v>
      </c>
      <c r="S574" s="1">
        <v>26.395586975417672</v>
      </c>
      <c r="T574" s="1">
        <v>26.391300489438521</v>
      </c>
      <c r="U574" s="14">
        <v>-4.2864859791507115E-3</v>
      </c>
    </row>
    <row r="575" spans="17:21" x14ac:dyDescent="0.2">
      <c r="Q575" s="23">
        <v>574</v>
      </c>
      <c r="R575" s="9">
        <v>119.31690802460632</v>
      </c>
      <c r="S575" s="1">
        <v>19.316912024606239</v>
      </c>
      <c r="T575" s="1">
        <v>19.428549364329612</v>
      </c>
      <c r="U575" s="14">
        <v>0.11163733972337297</v>
      </c>
    </row>
    <row r="576" spans="17:21" x14ac:dyDescent="0.2">
      <c r="Q576" s="23">
        <v>575</v>
      </c>
      <c r="R576" s="9">
        <v>99.338499359092168</v>
      </c>
      <c r="S576" s="1">
        <v>5.3633900959514544E-245</v>
      </c>
      <c r="T576" s="1">
        <v>3.0276596182596336</v>
      </c>
      <c r="U576" s="14">
        <v>3.0276596182596336</v>
      </c>
    </row>
    <row r="577" spans="17:21" x14ac:dyDescent="0.2">
      <c r="Q577" s="23">
        <v>576</v>
      </c>
      <c r="R577" s="9">
        <v>147.97856276409428</v>
      </c>
      <c r="S577" s="1">
        <v>47.978566764094197</v>
      </c>
      <c r="T577" s="1">
        <v>47.75585602540184</v>
      </c>
      <c r="U577" s="14">
        <v>-0.22271073869235636</v>
      </c>
    </row>
    <row r="578" spans="17:21" x14ac:dyDescent="0.2">
      <c r="Q578" s="23">
        <v>577</v>
      </c>
      <c r="R578" s="9">
        <v>114.60881006154524</v>
      </c>
      <c r="S578" s="1">
        <v>14.608814061545161</v>
      </c>
      <c r="T578" s="1">
        <v>15.223508788679126</v>
      </c>
      <c r="U578" s="14">
        <v>0.61469472713396556</v>
      </c>
    </row>
    <row r="579" spans="17:21" x14ac:dyDescent="0.2">
      <c r="Q579" s="23">
        <v>578</v>
      </c>
      <c r="R579" s="9">
        <v>123.33635930117646</v>
      </c>
      <c r="S579" s="1">
        <v>23.336363301176377</v>
      </c>
      <c r="T579" s="1">
        <v>18.679359603307006</v>
      </c>
      <c r="U579" s="14">
        <v>-4.6570036978693707</v>
      </c>
    </row>
    <row r="580" spans="17:21" x14ac:dyDescent="0.2">
      <c r="Q580" s="23">
        <v>579</v>
      </c>
      <c r="R580" s="9">
        <v>123.3266806218757</v>
      </c>
      <c r="S580" s="1">
        <v>23.326684621875614</v>
      </c>
      <c r="T580" s="1">
        <v>22.428089952034625</v>
      </c>
      <c r="U580" s="14">
        <v>-0.89859466984098901</v>
      </c>
    </row>
    <row r="581" spans="17:21" x14ac:dyDescent="0.2">
      <c r="Q581" s="23">
        <v>580</v>
      </c>
      <c r="R581" s="9">
        <v>94.31560859441025</v>
      </c>
      <c r="S581" s="1">
        <v>0</v>
      </c>
      <c r="T581" s="1">
        <v>1.6194268621422987</v>
      </c>
      <c r="U581" s="14">
        <v>1.6194268621422987</v>
      </c>
    </row>
    <row r="582" spans="17:21" x14ac:dyDescent="0.2">
      <c r="Q582" s="23">
        <v>581</v>
      </c>
      <c r="R582" s="9">
        <v>108.31995973980509</v>
      </c>
      <c r="S582" s="1">
        <v>8.3199637398050044</v>
      </c>
      <c r="T582" s="1">
        <v>10.225039729400066</v>
      </c>
      <c r="U582" s="14">
        <v>1.905075989595062</v>
      </c>
    </row>
    <row r="583" spans="17:21" x14ac:dyDescent="0.2">
      <c r="Q583" s="23">
        <v>582</v>
      </c>
      <c r="R583" s="9">
        <v>147.94670936810181</v>
      </c>
      <c r="S583" s="1">
        <v>47.946713368101726</v>
      </c>
      <c r="T583" s="1">
        <v>46.33140477268978</v>
      </c>
      <c r="U583" s="14">
        <v>-1.6153085954119462</v>
      </c>
    </row>
    <row r="584" spans="17:21" x14ac:dyDescent="0.2">
      <c r="Q584" s="23">
        <v>583</v>
      </c>
      <c r="R584" s="9">
        <v>105.99294086812024</v>
      </c>
      <c r="S584" s="1">
        <v>5.992944868120162</v>
      </c>
      <c r="T584" s="1">
        <v>5.355219467371569</v>
      </c>
      <c r="U584" s="14">
        <v>-0.63772540074859307</v>
      </c>
    </row>
    <row r="585" spans="17:21" x14ac:dyDescent="0.2">
      <c r="Q585" s="23">
        <v>584</v>
      </c>
      <c r="R585" s="9">
        <v>154.31371606647031</v>
      </c>
      <c r="S585" s="1">
        <v>54.313720066470225</v>
      </c>
      <c r="T585" s="1">
        <v>53.410412829032268</v>
      </c>
      <c r="U585" s="14">
        <v>-0.90330723743795716</v>
      </c>
    </row>
    <row r="586" spans="17:21" x14ac:dyDescent="0.2">
      <c r="Q586" s="23">
        <v>585</v>
      </c>
      <c r="R586" s="9">
        <v>102.73193446897861</v>
      </c>
      <c r="S586" s="1">
        <v>2.7319384689785267</v>
      </c>
      <c r="T586" s="1">
        <v>4.3290948594260925</v>
      </c>
      <c r="U586" s="14">
        <v>1.5971563904475659</v>
      </c>
    </row>
    <row r="587" spans="17:21" x14ac:dyDescent="0.2">
      <c r="Q587" s="23">
        <v>586</v>
      </c>
      <c r="R587" s="9">
        <v>85.112998197216683</v>
      </c>
      <c r="S587" s="1">
        <v>0</v>
      </c>
      <c r="T587" s="1">
        <v>1.3597178067641256</v>
      </c>
      <c r="U587" s="14">
        <v>1.3597178067641256</v>
      </c>
    </row>
    <row r="588" spans="17:21" x14ac:dyDescent="0.2">
      <c r="Q588" s="23">
        <v>587</v>
      </c>
      <c r="R588" s="9">
        <v>86.453637554514842</v>
      </c>
      <c r="S588" s="1">
        <v>0</v>
      </c>
      <c r="T588" s="1">
        <v>-0.15652415860939245</v>
      </c>
      <c r="U588" s="14">
        <v>-0.15652415860939245</v>
      </c>
    </row>
    <row r="589" spans="17:21" x14ac:dyDescent="0.2">
      <c r="Q589" s="23">
        <v>588</v>
      </c>
      <c r="R589" s="9">
        <v>148.92079714278012</v>
      </c>
      <c r="S589" s="1">
        <v>48.920801142780036</v>
      </c>
      <c r="T589" s="1">
        <v>48.204259159652423</v>
      </c>
      <c r="U589" s="14">
        <v>-0.71654198312761253</v>
      </c>
    </row>
    <row r="590" spans="17:21" x14ac:dyDescent="0.2">
      <c r="Q590" s="23">
        <v>589</v>
      </c>
      <c r="R590" s="9">
        <v>105.28193671206797</v>
      </c>
      <c r="S590" s="1">
        <v>5.2819407120678932</v>
      </c>
      <c r="T590" s="1">
        <v>7.2817896947590555</v>
      </c>
      <c r="U590" s="14">
        <v>1.9998489826911623</v>
      </c>
    </row>
    <row r="591" spans="17:21" x14ac:dyDescent="0.2">
      <c r="Q591" s="23">
        <v>590</v>
      </c>
      <c r="R591" s="9">
        <v>98.261654692413686</v>
      </c>
      <c r="S591" s="1">
        <v>0</v>
      </c>
      <c r="T591" s="1">
        <v>3.0609347295113238</v>
      </c>
      <c r="U591" s="14">
        <v>3.0609347295113238</v>
      </c>
    </row>
    <row r="592" spans="17:21" x14ac:dyDescent="0.2">
      <c r="Q592" s="23">
        <v>591</v>
      </c>
      <c r="R592" s="9">
        <v>105.30730863755322</v>
      </c>
      <c r="S592" s="1">
        <v>5.3073126375531388</v>
      </c>
      <c r="T592" s="1">
        <v>6.9650577942238101</v>
      </c>
      <c r="U592" s="14">
        <v>1.6577451566706713</v>
      </c>
    </row>
    <row r="593" spans="17:21" x14ac:dyDescent="0.2">
      <c r="Q593" s="23">
        <v>592</v>
      </c>
      <c r="R593" s="9">
        <v>131.20420762777468</v>
      </c>
      <c r="S593" s="1">
        <v>31.204211627774598</v>
      </c>
      <c r="T593" s="1">
        <v>31.094754803037645</v>
      </c>
      <c r="U593" s="14">
        <v>-0.10945682473695229</v>
      </c>
    </row>
    <row r="594" spans="17:21" x14ac:dyDescent="0.2">
      <c r="Q594" s="23">
        <v>593</v>
      </c>
      <c r="R594" s="9">
        <v>111.72604389345317</v>
      </c>
      <c r="S594" s="1">
        <v>11.726047893453085</v>
      </c>
      <c r="T594" s="1">
        <v>11.995382585036324</v>
      </c>
      <c r="U594" s="14">
        <v>0.26933469158323931</v>
      </c>
    </row>
    <row r="595" spans="17:21" x14ac:dyDescent="0.2">
      <c r="Q595" s="23">
        <v>594</v>
      </c>
      <c r="R595" s="9">
        <v>87.965908287263062</v>
      </c>
      <c r="S595" s="1">
        <v>0</v>
      </c>
      <c r="T595" s="1">
        <v>0.18928708762746133</v>
      </c>
      <c r="U595" s="14">
        <v>0.18928708762746133</v>
      </c>
    </row>
    <row r="596" spans="17:21" x14ac:dyDescent="0.2">
      <c r="Q596" s="23">
        <v>595</v>
      </c>
      <c r="R596" s="9">
        <v>73.893445893117416</v>
      </c>
      <c r="S596" s="1">
        <v>0</v>
      </c>
      <c r="T596" s="1">
        <v>-0.39393912998843822</v>
      </c>
      <c r="U596" s="14">
        <v>-0.39393912998843822</v>
      </c>
    </row>
    <row r="597" spans="17:21" x14ac:dyDescent="0.2">
      <c r="Q597" s="23">
        <v>596</v>
      </c>
      <c r="R597" s="9">
        <v>124.19197612347895</v>
      </c>
      <c r="S597" s="1">
        <v>24.191980123478871</v>
      </c>
      <c r="T597" s="1">
        <v>24.662085314719192</v>
      </c>
      <c r="U597" s="14">
        <v>0.47010519124032157</v>
      </c>
    </row>
    <row r="598" spans="17:21" x14ac:dyDescent="0.2">
      <c r="Q598" s="23">
        <v>597</v>
      </c>
      <c r="R598" s="9">
        <v>169.89782123958014</v>
      </c>
      <c r="S598" s="1">
        <v>69.897825239580058</v>
      </c>
      <c r="T598" s="1">
        <v>68.642881396167468</v>
      </c>
      <c r="U598" s="14">
        <v>-1.2549438434125904</v>
      </c>
    </row>
    <row r="599" spans="17:21" x14ac:dyDescent="0.2">
      <c r="Q599" s="23">
        <v>598</v>
      </c>
      <c r="R599" s="9">
        <v>91.037272773925849</v>
      </c>
      <c r="S599" s="1">
        <v>0</v>
      </c>
      <c r="T599" s="1">
        <v>-0.79395108768023059</v>
      </c>
      <c r="U599" s="14">
        <v>-0.79395108768023059</v>
      </c>
    </row>
    <row r="600" spans="17:21" x14ac:dyDescent="0.2">
      <c r="Q600" s="23">
        <v>599</v>
      </c>
      <c r="R600" s="9">
        <v>122.7745724354137</v>
      </c>
      <c r="S600" s="1">
        <v>22.774576435413621</v>
      </c>
      <c r="T600" s="1">
        <v>21.798674674801234</v>
      </c>
      <c r="U600" s="14">
        <v>-0.97590176061238765</v>
      </c>
    </row>
    <row r="601" spans="17:21" x14ac:dyDescent="0.2">
      <c r="Q601" s="23">
        <v>600</v>
      </c>
      <c r="R601" s="9">
        <v>107.31486188235235</v>
      </c>
      <c r="S601" s="1">
        <v>7.3148658823522652</v>
      </c>
      <c r="T601" s="1">
        <v>6.6098183941638382</v>
      </c>
      <c r="U601" s="14">
        <v>-0.705047488188427</v>
      </c>
    </row>
    <row r="602" spans="17:21" x14ac:dyDescent="0.2">
      <c r="Q602" s="23">
        <v>601</v>
      </c>
      <c r="R602" s="9">
        <v>118.72384274519952</v>
      </c>
      <c r="S602" s="1">
        <v>18.723846745199438</v>
      </c>
      <c r="T602" s="1">
        <v>18.771209947749639</v>
      </c>
      <c r="U602" s="14">
        <v>4.7363202550201322E-2</v>
      </c>
    </row>
    <row r="603" spans="17:21" x14ac:dyDescent="0.2">
      <c r="Q603" s="23">
        <v>602</v>
      </c>
      <c r="R603" s="9">
        <v>112.01112784633281</v>
      </c>
      <c r="S603" s="1">
        <v>12.011131846332731</v>
      </c>
      <c r="T603" s="1">
        <v>11.586971637115894</v>
      </c>
      <c r="U603" s="14">
        <v>-0.42416020921683639</v>
      </c>
    </row>
    <row r="604" spans="17:21" x14ac:dyDescent="0.2">
      <c r="Q604" s="23">
        <v>603</v>
      </c>
      <c r="R604" s="9">
        <v>71.907159547477718</v>
      </c>
      <c r="S604" s="1">
        <v>0</v>
      </c>
      <c r="T604" s="1">
        <v>-1.2007491589893653</v>
      </c>
      <c r="U604" s="14">
        <v>-1.2007491589893653</v>
      </c>
    </row>
    <row r="605" spans="17:21" x14ac:dyDescent="0.2">
      <c r="Q605" s="23">
        <v>604</v>
      </c>
      <c r="R605" s="9">
        <v>91.039914192459335</v>
      </c>
      <c r="S605" s="1">
        <v>0</v>
      </c>
      <c r="T605" s="1">
        <v>-0.57561831208813174</v>
      </c>
      <c r="U605" s="14">
        <v>-0.57561831208813174</v>
      </c>
    </row>
    <row r="606" spans="17:21" x14ac:dyDescent="0.2">
      <c r="Q606" s="23">
        <v>605</v>
      </c>
      <c r="R606" s="9">
        <v>80.80837694324228</v>
      </c>
      <c r="S606" s="1">
        <v>0</v>
      </c>
      <c r="T606" s="1">
        <v>0.54621541306880006</v>
      </c>
      <c r="U606" s="14">
        <v>0.54621541306880006</v>
      </c>
    </row>
    <row r="607" spans="17:21" x14ac:dyDescent="0.2">
      <c r="Q607" s="23">
        <v>606</v>
      </c>
      <c r="R607" s="9">
        <v>85.481686240027827</v>
      </c>
      <c r="S607" s="1">
        <v>0</v>
      </c>
      <c r="T607" s="1">
        <v>1.0617870442301289</v>
      </c>
      <c r="U607" s="14">
        <v>1.0617870442301289</v>
      </c>
    </row>
    <row r="608" spans="17:21" x14ac:dyDescent="0.2">
      <c r="Q608" s="23">
        <v>607</v>
      </c>
      <c r="R608" s="9">
        <v>93.616297767813933</v>
      </c>
      <c r="S608" s="1">
        <v>0</v>
      </c>
      <c r="T608" s="1">
        <v>-2.3039137170689141</v>
      </c>
      <c r="U608" s="14">
        <v>-2.3039137170689141</v>
      </c>
    </row>
    <row r="609" spans="17:21" x14ac:dyDescent="0.2">
      <c r="Q609" s="23">
        <v>608</v>
      </c>
      <c r="R609" s="9">
        <v>77.718618281178649</v>
      </c>
      <c r="S609" s="1">
        <v>0</v>
      </c>
      <c r="T609" s="1">
        <v>5.8834449037926437E-2</v>
      </c>
      <c r="U609" s="14">
        <v>5.8834449037926437E-2</v>
      </c>
    </row>
    <row r="610" spans="17:21" x14ac:dyDescent="0.2">
      <c r="Q610" s="23">
        <v>609</v>
      </c>
      <c r="R610" s="9">
        <v>126.03724677587057</v>
      </c>
      <c r="S610" s="1">
        <v>26.03725077587049</v>
      </c>
      <c r="T610" s="1">
        <v>24.098015713791824</v>
      </c>
      <c r="U610" s="14">
        <v>-1.9392350620786658</v>
      </c>
    </row>
    <row r="611" spans="17:21" x14ac:dyDescent="0.2">
      <c r="Q611" s="23">
        <v>610</v>
      </c>
      <c r="R611" s="9">
        <v>121.02664197214922</v>
      </c>
      <c r="S611" s="1">
        <v>21.02664597214914</v>
      </c>
      <c r="T611" s="1">
        <v>19.863923244500029</v>
      </c>
      <c r="U611" s="14">
        <v>-1.1627227276491112</v>
      </c>
    </row>
    <row r="612" spans="17:21" x14ac:dyDescent="0.2">
      <c r="Q612" s="23">
        <v>611</v>
      </c>
      <c r="R612" s="9">
        <v>109.33189455530467</v>
      </c>
      <c r="S612" s="1">
        <v>9.3318985553045906</v>
      </c>
      <c r="T612" s="1">
        <v>7.0881166283564312</v>
      </c>
      <c r="U612" s="14">
        <v>-2.2437819269481594</v>
      </c>
    </row>
    <row r="613" spans="17:21" x14ac:dyDescent="0.2">
      <c r="Q613" s="23">
        <v>612</v>
      </c>
      <c r="R613" s="9">
        <v>89.109334751551941</v>
      </c>
      <c r="S613" s="1">
        <v>0</v>
      </c>
      <c r="T613" s="1">
        <v>1.4247502141844546</v>
      </c>
      <c r="U613" s="14">
        <v>1.4247502141844546</v>
      </c>
    </row>
    <row r="614" spans="17:21" x14ac:dyDescent="0.2">
      <c r="Q614" s="23">
        <v>613</v>
      </c>
      <c r="R614" s="9">
        <v>93.373275981415134</v>
      </c>
      <c r="S614" s="1">
        <v>0</v>
      </c>
      <c r="T614" s="1">
        <v>-2.4534901502849848</v>
      </c>
      <c r="U614" s="14">
        <v>-2.4534901502849848</v>
      </c>
    </row>
    <row r="615" spans="17:21" x14ac:dyDescent="0.2">
      <c r="Q615" s="23">
        <v>614</v>
      </c>
      <c r="R615" s="9">
        <v>130.55935757220715</v>
      </c>
      <c r="S615" s="1">
        <v>30.559361572207067</v>
      </c>
      <c r="T615" s="1">
        <v>30.573780564749981</v>
      </c>
      <c r="U615" s="14">
        <v>1.4418992542914566E-2</v>
      </c>
    </row>
    <row r="616" spans="17:21" x14ac:dyDescent="0.2">
      <c r="Q616" s="23">
        <v>615</v>
      </c>
      <c r="R616" s="9">
        <v>135.40416938400844</v>
      </c>
      <c r="S616" s="1">
        <v>35.404173384008359</v>
      </c>
      <c r="T616" s="1">
        <v>35.527694711845939</v>
      </c>
      <c r="U616" s="14">
        <v>0.12352132783757952</v>
      </c>
    </row>
    <row r="617" spans="17:21" x14ac:dyDescent="0.2">
      <c r="Q617" s="23">
        <v>616</v>
      </c>
      <c r="R617" s="9">
        <v>182.29698181884615</v>
      </c>
      <c r="S617" s="1">
        <v>82.296985818846068</v>
      </c>
      <c r="T617" s="1">
        <v>81.068153114555827</v>
      </c>
      <c r="U617" s="14">
        <v>-1.2288327042902409</v>
      </c>
    </row>
    <row r="618" spans="17:21" x14ac:dyDescent="0.2">
      <c r="Q618" s="23">
        <v>617</v>
      </c>
      <c r="R618" s="9">
        <v>94.48185409642258</v>
      </c>
      <c r="S618" s="1">
        <v>0</v>
      </c>
      <c r="T618" s="1">
        <v>0.73924821248401429</v>
      </c>
      <c r="U618" s="14">
        <v>0.73924821248401429</v>
      </c>
    </row>
    <row r="619" spans="17:21" x14ac:dyDescent="0.2">
      <c r="Q619" s="23">
        <v>618</v>
      </c>
      <c r="R619" s="9">
        <v>105.10810498590907</v>
      </c>
      <c r="S619" s="1">
        <v>5.1081089859089843</v>
      </c>
      <c r="T619" s="1">
        <v>4.8223524948750907</v>
      </c>
      <c r="U619" s="14">
        <v>-0.28575649103389367</v>
      </c>
    </row>
    <row r="620" spans="17:21" x14ac:dyDescent="0.2">
      <c r="Q620" s="23">
        <v>619</v>
      </c>
      <c r="R620" s="9">
        <v>84.713622487093886</v>
      </c>
      <c r="S620" s="1">
        <v>0</v>
      </c>
      <c r="T620" s="1">
        <v>-0.70917544038643177</v>
      </c>
      <c r="U620" s="14">
        <v>-0.70917544038643177</v>
      </c>
    </row>
    <row r="621" spans="17:21" x14ac:dyDescent="0.2">
      <c r="Q621" s="23">
        <v>620</v>
      </c>
      <c r="R621" s="9">
        <v>100.39248569254543</v>
      </c>
      <c r="S621" s="1">
        <v>0.39248969254535382</v>
      </c>
      <c r="T621" s="1">
        <v>1.0476440132226656</v>
      </c>
      <c r="U621" s="14">
        <v>0.65515432067731183</v>
      </c>
    </row>
    <row r="622" spans="17:21" x14ac:dyDescent="0.2">
      <c r="Q622" s="23">
        <v>621</v>
      </c>
      <c r="R622" s="9">
        <v>114.49026147140354</v>
      </c>
      <c r="S622" s="1">
        <v>14.490265471403461</v>
      </c>
      <c r="T622" s="1">
        <v>14.515693708737814</v>
      </c>
      <c r="U622" s="14">
        <v>2.5428237334352843E-2</v>
      </c>
    </row>
    <row r="623" spans="17:21" x14ac:dyDescent="0.2">
      <c r="Q623" s="23">
        <v>622</v>
      </c>
      <c r="R623" s="9">
        <v>100.40477323834213</v>
      </c>
      <c r="S623" s="1">
        <v>0.40477723834204937</v>
      </c>
      <c r="T623" s="1">
        <v>2.162403969119552</v>
      </c>
      <c r="U623" s="14">
        <v>1.7576267307775026</v>
      </c>
    </row>
    <row r="624" spans="17:21" x14ac:dyDescent="0.2">
      <c r="Q624" s="23">
        <v>623</v>
      </c>
      <c r="R624" s="9">
        <v>80.101628162921784</v>
      </c>
      <c r="S624" s="1">
        <v>0</v>
      </c>
      <c r="T624" s="1">
        <v>-0.85941184017725514</v>
      </c>
      <c r="U624" s="14">
        <v>-0.85941184017725514</v>
      </c>
    </row>
    <row r="625" spans="17:21" x14ac:dyDescent="0.2">
      <c r="Q625" s="23">
        <v>624</v>
      </c>
      <c r="R625" s="9">
        <v>101.59429139921497</v>
      </c>
      <c r="S625" s="1">
        <v>1.5942953992148858</v>
      </c>
      <c r="T625" s="1">
        <v>1.77260282656313</v>
      </c>
      <c r="U625" s="14">
        <v>0.17830742734824412</v>
      </c>
    </row>
    <row r="626" spans="17:21" x14ac:dyDescent="0.2">
      <c r="Q626" s="23">
        <v>625</v>
      </c>
      <c r="R626" s="9">
        <v>141.60207444988114</v>
      </c>
      <c r="S626" s="1">
        <v>41.602078449881063</v>
      </c>
      <c r="T626" s="1">
        <v>40.264230347119167</v>
      </c>
      <c r="U626" s="14">
        <v>-1.337848102761896</v>
      </c>
    </row>
    <row r="627" spans="17:21" x14ac:dyDescent="0.2">
      <c r="Q627" s="23">
        <v>626</v>
      </c>
      <c r="R627" s="9">
        <v>135.3517049945691</v>
      </c>
      <c r="S627" s="1">
        <v>35.351708994569023</v>
      </c>
      <c r="T627" s="1">
        <v>36.088154441020365</v>
      </c>
      <c r="U627" s="14">
        <v>0.73644544645134147</v>
      </c>
    </row>
    <row r="628" spans="17:21" x14ac:dyDescent="0.2">
      <c r="Q628" s="23">
        <v>627</v>
      </c>
      <c r="R628" s="9">
        <v>105.31977215455613</v>
      </c>
      <c r="S628" s="1">
        <v>5.3197761545560525</v>
      </c>
      <c r="T628" s="1">
        <v>5.3897478273024717</v>
      </c>
      <c r="U628" s="14">
        <v>6.9971672746419245E-2</v>
      </c>
    </row>
    <row r="629" spans="17:21" x14ac:dyDescent="0.2">
      <c r="Q629" s="23">
        <v>628</v>
      </c>
      <c r="R629" s="9">
        <v>114.90374189598826</v>
      </c>
      <c r="S629" s="1">
        <v>14.90374589598818</v>
      </c>
      <c r="T629" s="1">
        <v>15.356445140066484</v>
      </c>
      <c r="U629" s="14">
        <v>0.45269924407830331</v>
      </c>
    </row>
    <row r="630" spans="17:21" x14ac:dyDescent="0.2">
      <c r="Q630" s="23">
        <v>629</v>
      </c>
      <c r="R630" s="9">
        <v>120.99275077108688</v>
      </c>
      <c r="S630" s="1">
        <v>20.992754771086794</v>
      </c>
      <c r="T630" s="1">
        <v>19.641207636229893</v>
      </c>
      <c r="U630" s="14">
        <v>-1.3515471348569008</v>
      </c>
    </row>
    <row r="631" spans="17:21" x14ac:dyDescent="0.2">
      <c r="Q631" s="23">
        <v>630</v>
      </c>
      <c r="R631" s="9">
        <v>129.21351248661668</v>
      </c>
      <c r="S631" s="1">
        <v>29.213516486616598</v>
      </c>
      <c r="T631" s="1">
        <v>29.336826062135643</v>
      </c>
      <c r="U631" s="14">
        <v>0.12330957551904476</v>
      </c>
    </row>
    <row r="632" spans="17:21" x14ac:dyDescent="0.2">
      <c r="Q632" s="23">
        <v>631</v>
      </c>
      <c r="R632" s="9">
        <v>114.95848535413083</v>
      </c>
      <c r="S632" s="1">
        <v>14.958489354130748</v>
      </c>
      <c r="T632" s="1">
        <v>8.4080965298726085</v>
      </c>
      <c r="U632" s="14">
        <v>-6.5503928242581395</v>
      </c>
    </row>
    <row r="633" spans="17:21" x14ac:dyDescent="0.2">
      <c r="Q633" s="23">
        <v>632</v>
      </c>
      <c r="R633" s="9">
        <v>95.212195671946546</v>
      </c>
      <c r="S633" s="1">
        <v>0</v>
      </c>
      <c r="T633" s="1">
        <v>0.14098207083084446</v>
      </c>
      <c r="U633" s="14">
        <v>0.14098207083084446</v>
      </c>
    </row>
    <row r="634" spans="17:21" x14ac:dyDescent="0.2">
      <c r="Q634" s="23">
        <v>633</v>
      </c>
      <c r="R634" s="9">
        <v>80.896971093120513</v>
      </c>
      <c r="S634" s="1">
        <v>0</v>
      </c>
      <c r="T634" s="1">
        <v>-4.4588918278759118E-2</v>
      </c>
      <c r="U634" s="14">
        <v>-4.4588918278759118E-2</v>
      </c>
    </row>
    <row r="635" spans="17:21" x14ac:dyDescent="0.2">
      <c r="Q635" s="23">
        <v>634</v>
      </c>
      <c r="R635" s="9">
        <v>121.55431398656629</v>
      </c>
      <c r="S635" s="1">
        <v>21.554317986566204</v>
      </c>
      <c r="T635" s="1">
        <v>20.529130728669557</v>
      </c>
      <c r="U635" s="14">
        <v>-1.025187257896647</v>
      </c>
    </row>
    <row r="636" spans="17:21" x14ac:dyDescent="0.2">
      <c r="Q636" s="23">
        <v>635</v>
      </c>
      <c r="R636" s="9">
        <v>63.703788876457409</v>
      </c>
      <c r="S636" s="1">
        <v>0</v>
      </c>
      <c r="T636" s="1">
        <v>-0.53662884348941586</v>
      </c>
      <c r="U636" s="14">
        <v>-0.53662884348941586</v>
      </c>
    </row>
    <row r="637" spans="17:21" x14ac:dyDescent="0.2">
      <c r="Q637" s="23">
        <v>636</v>
      </c>
      <c r="R637" s="9">
        <v>120.44045588592112</v>
      </c>
      <c r="S637" s="1">
        <v>20.440459885921044</v>
      </c>
      <c r="T637" s="1">
        <v>21.085175825050442</v>
      </c>
      <c r="U637" s="14">
        <v>0.64471593912939795</v>
      </c>
    </row>
    <row r="638" spans="17:21" x14ac:dyDescent="0.2">
      <c r="Q638" s="23">
        <v>637</v>
      </c>
      <c r="R638" s="9">
        <v>88.079132816168055</v>
      </c>
      <c r="S638" s="1">
        <v>0</v>
      </c>
      <c r="T638" s="1">
        <v>3.6426597990941362E-2</v>
      </c>
      <c r="U638" s="14">
        <v>3.6426597990941362E-2</v>
      </c>
    </row>
    <row r="639" spans="17:21" x14ac:dyDescent="0.2">
      <c r="Q639" s="23">
        <v>638</v>
      </c>
      <c r="R639" s="9">
        <v>77.274116212693855</v>
      </c>
      <c r="S639" s="1">
        <v>0</v>
      </c>
      <c r="T639" s="1">
        <v>0.23135750797590424</v>
      </c>
      <c r="U639" s="14">
        <v>0.23135750797590424</v>
      </c>
    </row>
    <row r="640" spans="17:21" x14ac:dyDescent="0.2">
      <c r="Q640" s="23">
        <v>639</v>
      </c>
      <c r="R640" s="9">
        <v>108.73593880279275</v>
      </c>
      <c r="S640" s="1">
        <v>8.735942802792664</v>
      </c>
      <c r="T640" s="1">
        <v>9.853896428330259</v>
      </c>
      <c r="U640" s="14">
        <v>1.117953625537595</v>
      </c>
    </row>
    <row r="641" spans="17:21" x14ac:dyDescent="0.2">
      <c r="Q641" s="23">
        <v>640</v>
      </c>
      <c r="R641" s="9">
        <v>112.29687526161186</v>
      </c>
      <c r="S641" s="1">
        <v>12.296879261611778</v>
      </c>
      <c r="T641" s="1">
        <v>11.87057127076497</v>
      </c>
      <c r="U641" s="14">
        <v>-0.42630799084680859</v>
      </c>
    </row>
    <row r="642" spans="17:21" x14ac:dyDescent="0.2">
      <c r="Q642" s="23">
        <v>641</v>
      </c>
      <c r="R642" s="9">
        <v>116.94908548723794</v>
      </c>
      <c r="S642" s="1">
        <v>16.949089487237856</v>
      </c>
      <c r="T642" s="1">
        <v>16.711060851232403</v>
      </c>
      <c r="U642" s="14">
        <v>-0.23802863600545265</v>
      </c>
    </row>
    <row r="643" spans="17:21" x14ac:dyDescent="0.2">
      <c r="Q643" s="23">
        <v>642</v>
      </c>
      <c r="R643" s="9">
        <v>126.10503267301314</v>
      </c>
      <c r="S643" s="1">
        <v>26.105036673013061</v>
      </c>
      <c r="T643" s="1">
        <v>24.609724425145615</v>
      </c>
      <c r="U643" s="14">
        <v>-1.4953122478674459</v>
      </c>
    </row>
    <row r="644" spans="17:21" x14ac:dyDescent="0.2">
      <c r="Q644" s="23">
        <v>643</v>
      </c>
      <c r="R644" s="9">
        <v>106.85290699512437</v>
      </c>
      <c r="S644" s="1">
        <v>6.8529109951242901</v>
      </c>
      <c r="T644" s="1">
        <v>6.4330319897121484</v>
      </c>
      <c r="U644" s="14">
        <v>-0.41987900541214174</v>
      </c>
    </row>
    <row r="645" spans="17:21" x14ac:dyDescent="0.2">
      <c r="Q645" s="23">
        <v>644</v>
      </c>
      <c r="R645" s="9">
        <v>74.123172056749681</v>
      </c>
      <c r="S645" s="1">
        <v>0</v>
      </c>
      <c r="T645" s="1">
        <v>-0.80605705626939306</v>
      </c>
      <c r="U645" s="14">
        <v>-0.80605705626939306</v>
      </c>
    </row>
    <row r="646" spans="17:21" x14ac:dyDescent="0.2">
      <c r="Q646" s="23">
        <v>645</v>
      </c>
      <c r="R646" s="9">
        <v>119.63888576237674</v>
      </c>
      <c r="S646" s="1">
        <v>19.638889762376664</v>
      </c>
      <c r="T646" s="1">
        <v>19.127421026541967</v>
      </c>
      <c r="U646" s="14">
        <v>-0.51146873583469699</v>
      </c>
    </row>
    <row r="647" spans="17:21" x14ac:dyDescent="0.2">
      <c r="Q647" s="23">
        <v>646</v>
      </c>
      <c r="R647" s="9">
        <v>108.00848466274553</v>
      </c>
      <c r="S647" s="1">
        <v>8.0084886627454495</v>
      </c>
      <c r="T647" s="1">
        <v>7.1466501535299614</v>
      </c>
      <c r="U647" s="14">
        <v>-0.8618385092154881</v>
      </c>
    </row>
    <row r="648" spans="17:21" x14ac:dyDescent="0.2">
      <c r="Q648" s="23">
        <v>647</v>
      </c>
      <c r="R648" s="9">
        <v>185.55152897850323</v>
      </c>
      <c r="S648" s="1">
        <v>85.551532978503147</v>
      </c>
      <c r="T648" s="1">
        <v>84.673800879459904</v>
      </c>
      <c r="U648" s="14">
        <v>-0.8777320990432429</v>
      </c>
    </row>
    <row r="649" spans="17:21" x14ac:dyDescent="0.2">
      <c r="Q649" s="23">
        <v>648</v>
      </c>
      <c r="R649" s="9">
        <v>73.034253569700866</v>
      </c>
      <c r="S649" s="1">
        <v>0</v>
      </c>
      <c r="T649" s="1">
        <v>-1.1472252932529399</v>
      </c>
      <c r="U649" s="14">
        <v>-1.1472252932529399</v>
      </c>
    </row>
    <row r="650" spans="17:21" x14ac:dyDescent="0.2">
      <c r="Q650" s="23">
        <v>649</v>
      </c>
      <c r="R650" s="9">
        <v>101.95640344290258</v>
      </c>
      <c r="S650" s="1">
        <v>1.9564074429025027</v>
      </c>
      <c r="T650" s="1">
        <v>1.0118420351356718</v>
      </c>
      <c r="U650" s="14">
        <v>-0.94456540776683084</v>
      </c>
    </row>
    <row r="651" spans="17:21" x14ac:dyDescent="0.2">
      <c r="Q651" s="23">
        <v>650</v>
      </c>
      <c r="R651" s="9">
        <v>106.14722881440706</v>
      </c>
      <c r="S651" s="1">
        <v>6.1472328144069763</v>
      </c>
      <c r="T651" s="1">
        <v>7.3783888454163815</v>
      </c>
      <c r="U651" s="14">
        <v>1.2311560310094052</v>
      </c>
    </row>
    <row r="652" spans="17:21" x14ac:dyDescent="0.2">
      <c r="Q652" s="23">
        <v>651</v>
      </c>
      <c r="R652" s="9">
        <v>108.5487808287148</v>
      </c>
      <c r="S652" s="1">
        <v>8.5487848287147159</v>
      </c>
      <c r="T652" s="1">
        <v>9.6682607239063429</v>
      </c>
      <c r="U652" s="14">
        <v>1.119475895191627</v>
      </c>
    </row>
    <row r="653" spans="17:21" x14ac:dyDescent="0.2">
      <c r="Q653" s="23">
        <v>652</v>
      </c>
      <c r="R653" s="9">
        <v>117.35822776469355</v>
      </c>
      <c r="S653" s="1">
        <v>17.358231764693471</v>
      </c>
      <c r="T653" s="1">
        <v>17.617989398317377</v>
      </c>
      <c r="U653" s="14">
        <v>0.2597576336239058</v>
      </c>
    </row>
    <row r="654" spans="17:21" x14ac:dyDescent="0.2">
      <c r="Q654" s="23">
        <v>653</v>
      </c>
      <c r="R654" s="9">
        <v>117.33998847925538</v>
      </c>
      <c r="S654" s="1">
        <v>17.339992479255301</v>
      </c>
      <c r="T654" s="1">
        <v>17.440155166046765</v>
      </c>
      <c r="U654" s="14">
        <v>0.10016268679146378</v>
      </c>
    </row>
    <row r="655" spans="17:21" x14ac:dyDescent="0.2">
      <c r="Q655" s="23">
        <v>654</v>
      </c>
      <c r="R655" s="9">
        <v>126.45954164007983</v>
      </c>
      <c r="S655" s="1">
        <v>26.459545640079753</v>
      </c>
      <c r="T655" s="1">
        <v>26.283870239942843</v>
      </c>
      <c r="U655" s="14">
        <v>-0.1756754001369103</v>
      </c>
    </row>
    <row r="656" spans="17:21" x14ac:dyDescent="0.2">
      <c r="Q656" s="23">
        <v>655</v>
      </c>
      <c r="R656" s="9">
        <v>137.62411828433389</v>
      </c>
      <c r="S656" s="1">
        <v>37.624122284333808</v>
      </c>
      <c r="T656" s="1">
        <v>37.10614274618338</v>
      </c>
      <c r="U656" s="14">
        <v>-0.51797953815042774</v>
      </c>
    </row>
    <row r="657" spans="17:21" x14ac:dyDescent="0.2">
      <c r="Q657" s="23">
        <v>656</v>
      </c>
      <c r="R657" s="9">
        <v>109.22799096272746</v>
      </c>
      <c r="S657" s="1">
        <v>9.2279949627273794</v>
      </c>
      <c r="T657" s="1">
        <v>9.8058476536283052</v>
      </c>
      <c r="U657" s="14">
        <v>0.57785269090092584</v>
      </c>
    </row>
    <row r="658" spans="17:21" x14ac:dyDescent="0.2">
      <c r="Q658" s="23">
        <v>657</v>
      </c>
      <c r="R658" s="9">
        <v>86.798414736419659</v>
      </c>
      <c r="S658" s="1">
        <v>0</v>
      </c>
      <c r="T658" s="1">
        <v>3.260592855346208</v>
      </c>
      <c r="U658" s="14">
        <v>3.260592855346208</v>
      </c>
    </row>
    <row r="659" spans="17:21" x14ac:dyDescent="0.2">
      <c r="Q659" s="23">
        <v>658</v>
      </c>
      <c r="R659" s="9">
        <v>112.12081630779899</v>
      </c>
      <c r="S659" s="1">
        <v>12.120820307798908</v>
      </c>
      <c r="T659" s="1">
        <v>11.536919971218154</v>
      </c>
      <c r="U659" s="14">
        <v>-0.58390033658075424</v>
      </c>
    </row>
    <row r="660" spans="17:21" x14ac:dyDescent="0.2">
      <c r="Q660" s="23">
        <v>659</v>
      </c>
      <c r="R660" s="9">
        <v>97.25569425914793</v>
      </c>
      <c r="S660" s="1">
        <v>0</v>
      </c>
      <c r="T660" s="1">
        <v>0.87468860961706696</v>
      </c>
      <c r="U660" s="14">
        <v>0.87468860961706696</v>
      </c>
    </row>
    <row r="661" spans="17:21" x14ac:dyDescent="0.2">
      <c r="Q661" s="23">
        <v>660</v>
      </c>
      <c r="R661" s="9">
        <v>110.45295085592883</v>
      </c>
      <c r="S661" s="1">
        <v>10.452954855928752</v>
      </c>
      <c r="T661" s="1">
        <v>8.8038402302609171</v>
      </c>
      <c r="U661" s="14">
        <v>-1.6491146256678348</v>
      </c>
    </row>
    <row r="662" spans="17:21" x14ac:dyDescent="0.2">
      <c r="Q662" s="23">
        <v>661</v>
      </c>
      <c r="R662" s="9">
        <v>118.44221438182463</v>
      </c>
      <c r="S662" s="1">
        <v>18.442218381824546</v>
      </c>
      <c r="T662" s="1">
        <v>19.157526162613721</v>
      </c>
      <c r="U662" s="14">
        <v>0.71530778078917479</v>
      </c>
    </row>
    <row r="663" spans="17:21" x14ac:dyDescent="0.2">
      <c r="Q663" s="23">
        <v>662</v>
      </c>
      <c r="R663" s="9">
        <v>125.60614269326837</v>
      </c>
      <c r="S663" s="1">
        <v>25.606146693268286</v>
      </c>
      <c r="T663" s="1">
        <v>26.402268902271715</v>
      </c>
      <c r="U663" s="14">
        <v>0.79612220900342834</v>
      </c>
    </row>
    <row r="664" spans="17:21" x14ac:dyDescent="0.2">
      <c r="Q664" s="23">
        <v>663</v>
      </c>
      <c r="R664" s="9">
        <v>141.29053110356679</v>
      </c>
      <c r="S664" s="1">
        <v>41.290535103566711</v>
      </c>
      <c r="T664" s="1">
        <v>40.816036140891271</v>
      </c>
      <c r="U664" s="14">
        <v>-0.47449896267544034</v>
      </c>
    </row>
    <row r="665" spans="17:21" x14ac:dyDescent="0.2">
      <c r="Q665" s="23">
        <v>664</v>
      </c>
      <c r="R665" s="9">
        <v>81.868197152275158</v>
      </c>
      <c r="S665" s="1">
        <v>0</v>
      </c>
      <c r="T665" s="1">
        <v>-3.4268008294531285</v>
      </c>
      <c r="U665" s="14">
        <v>-3.4268008294531285</v>
      </c>
    </row>
    <row r="666" spans="17:21" x14ac:dyDescent="0.2">
      <c r="Q666" s="23">
        <v>665</v>
      </c>
      <c r="R666" s="9">
        <v>128.08712527557776</v>
      </c>
      <c r="S666" s="1">
        <v>28.087129275577681</v>
      </c>
      <c r="T666" s="1">
        <v>26.776234890953816</v>
      </c>
      <c r="U666" s="14">
        <v>-1.3108943846238645</v>
      </c>
    </row>
    <row r="667" spans="17:21" x14ac:dyDescent="0.2">
      <c r="Q667" s="23">
        <v>666</v>
      </c>
      <c r="R667" s="9">
        <v>82.259004742003256</v>
      </c>
      <c r="S667" s="1">
        <v>0</v>
      </c>
      <c r="T667" s="1">
        <v>1.40374854355101</v>
      </c>
      <c r="U667" s="14">
        <v>1.40374854355101</v>
      </c>
    </row>
    <row r="668" spans="17:21" x14ac:dyDescent="0.2">
      <c r="Q668" s="23">
        <v>667</v>
      </c>
      <c r="R668" s="9">
        <v>100.04351152342335</v>
      </c>
      <c r="S668" s="1">
        <v>4.3620374196606804E-2</v>
      </c>
      <c r="T668" s="1">
        <v>2.8273299787760493</v>
      </c>
      <c r="U668" s="14">
        <v>2.7837096045794425</v>
      </c>
    </row>
    <row r="669" spans="17:21" x14ac:dyDescent="0.2">
      <c r="Q669" s="23">
        <v>668</v>
      </c>
      <c r="R669" s="9">
        <v>80.723374736630788</v>
      </c>
      <c r="S669" s="1">
        <v>0</v>
      </c>
      <c r="T669" s="1">
        <v>8.2599777516076806E-2</v>
      </c>
      <c r="U669" s="14">
        <v>8.2599777516076806E-2</v>
      </c>
    </row>
    <row r="670" spans="17:21" x14ac:dyDescent="0.2">
      <c r="Q670" s="23">
        <v>669</v>
      </c>
      <c r="R670" s="9">
        <v>146.99487282017085</v>
      </c>
      <c r="S670" s="1">
        <v>46.994876820170774</v>
      </c>
      <c r="T670" s="1">
        <v>46.13985190886423</v>
      </c>
      <c r="U670" s="14">
        <v>-0.85502491130654334</v>
      </c>
    </row>
    <row r="671" spans="17:21" x14ac:dyDescent="0.2">
      <c r="Q671" s="23">
        <v>670</v>
      </c>
      <c r="R671" s="9">
        <v>94.860134575960544</v>
      </c>
      <c r="S671" s="1">
        <v>0</v>
      </c>
      <c r="T671" s="1">
        <v>0.41072778747675276</v>
      </c>
      <c r="U671" s="14">
        <v>0.41072778747675276</v>
      </c>
    </row>
    <row r="672" spans="17:21" x14ac:dyDescent="0.2">
      <c r="Q672" s="23">
        <v>671</v>
      </c>
      <c r="R672" s="9">
        <v>122.28255689668264</v>
      </c>
      <c r="S672" s="1">
        <v>22.282560896682554</v>
      </c>
      <c r="T672" s="1">
        <v>22.340518060128161</v>
      </c>
      <c r="U672" s="14">
        <v>5.7957163445607307E-2</v>
      </c>
    </row>
    <row r="673" spans="17:21" x14ac:dyDescent="0.2">
      <c r="Q673" s="23">
        <v>672</v>
      </c>
      <c r="R673" s="9">
        <v>111.74229007096956</v>
      </c>
      <c r="S673" s="1">
        <v>11.742294070969479</v>
      </c>
      <c r="T673" s="1">
        <v>10.758021787279446</v>
      </c>
      <c r="U673" s="14">
        <v>-0.98427228369003217</v>
      </c>
    </row>
    <row r="674" spans="17:21" x14ac:dyDescent="0.2">
      <c r="Q674" s="23">
        <v>673</v>
      </c>
      <c r="R674" s="9">
        <v>113.02600400405073</v>
      </c>
      <c r="S674" s="1">
        <v>13.026008004050652</v>
      </c>
      <c r="T674" s="1">
        <v>12.545409426088185</v>
      </c>
      <c r="U674" s="14">
        <v>-0.48059857796246774</v>
      </c>
    </row>
    <row r="675" spans="17:21" x14ac:dyDescent="0.2">
      <c r="Q675" s="23">
        <v>674</v>
      </c>
      <c r="R675" s="9">
        <v>108.31703318897664</v>
      </c>
      <c r="S675" s="1">
        <v>8.3170371889765562</v>
      </c>
      <c r="T675" s="1">
        <v>8.3021528226770442</v>
      </c>
      <c r="U675" s="14">
        <v>-1.4884366299511953E-2</v>
      </c>
    </row>
    <row r="676" spans="17:21" x14ac:dyDescent="0.2">
      <c r="Q676" s="23">
        <v>675</v>
      </c>
      <c r="R676" s="9">
        <v>108.60249527693175</v>
      </c>
      <c r="S676" s="1">
        <v>8.6024992769316668</v>
      </c>
      <c r="T676" s="1">
        <v>7.6843786097876148</v>
      </c>
      <c r="U676" s="14">
        <v>-0.91812066714405205</v>
      </c>
    </row>
    <row r="677" spans="17:21" x14ac:dyDescent="0.2">
      <c r="Q677" s="23">
        <v>676</v>
      </c>
      <c r="R677" s="9">
        <v>86.171563245434641</v>
      </c>
      <c r="S677" s="1">
        <v>0</v>
      </c>
      <c r="T677" s="1">
        <v>0.58067983815835811</v>
      </c>
      <c r="U677" s="14">
        <v>0.58067983815835811</v>
      </c>
    </row>
    <row r="678" spans="17:21" x14ac:dyDescent="0.2">
      <c r="Q678" s="23">
        <v>677</v>
      </c>
      <c r="R678" s="9">
        <v>100.57811833668922</v>
      </c>
      <c r="S678" s="1">
        <v>0.57812233668913393</v>
      </c>
      <c r="T678" s="1">
        <v>2.0620575562018075</v>
      </c>
      <c r="U678" s="14">
        <v>1.4839352195126736</v>
      </c>
    </row>
    <row r="679" spans="17:21" x14ac:dyDescent="0.2">
      <c r="Q679" s="23">
        <v>678</v>
      </c>
      <c r="R679" s="9">
        <v>117.41117048889929</v>
      </c>
      <c r="S679" s="1">
        <v>17.411174488899206</v>
      </c>
      <c r="T679" s="1">
        <v>16.975130775633275</v>
      </c>
      <c r="U679" s="14">
        <v>-0.43604371326593139</v>
      </c>
    </row>
    <row r="680" spans="17:21" x14ac:dyDescent="0.2">
      <c r="Q680" s="23">
        <v>679</v>
      </c>
      <c r="R680" s="9">
        <v>98.648556727776523</v>
      </c>
      <c r="S680" s="1">
        <v>0</v>
      </c>
      <c r="T680" s="1">
        <v>1.5236063955224068</v>
      </c>
      <c r="U680" s="14">
        <v>1.5236063955224068</v>
      </c>
    </row>
    <row r="681" spans="17:21" x14ac:dyDescent="0.2">
      <c r="Q681" s="23">
        <v>680</v>
      </c>
      <c r="R681" s="9">
        <v>103.43750903176502</v>
      </c>
      <c r="S681" s="1">
        <v>3.4375130317649365</v>
      </c>
      <c r="T681" s="1">
        <v>5.4107453086676713</v>
      </c>
      <c r="U681" s="14">
        <v>1.9732322769027348</v>
      </c>
    </row>
    <row r="682" spans="17:21" x14ac:dyDescent="0.2">
      <c r="Q682" s="23">
        <v>681</v>
      </c>
      <c r="R682" s="9">
        <v>113.92419343582453</v>
      </c>
      <c r="S682" s="1">
        <v>13.924197435824453</v>
      </c>
      <c r="T682" s="1">
        <v>12.853527644506926</v>
      </c>
      <c r="U682" s="14">
        <v>-1.0706697913175276</v>
      </c>
    </row>
    <row r="683" spans="17:21" x14ac:dyDescent="0.2">
      <c r="Q683" s="23">
        <v>682</v>
      </c>
      <c r="R683" s="9">
        <v>99.018943799307564</v>
      </c>
      <c r="S683" s="1">
        <v>0</v>
      </c>
      <c r="T683" s="1">
        <v>2.1450474679345923</v>
      </c>
      <c r="U683" s="14">
        <v>2.1450474679345923</v>
      </c>
    </row>
    <row r="684" spans="17:21" x14ac:dyDescent="0.2">
      <c r="Q684" s="23">
        <v>683</v>
      </c>
      <c r="R684" s="9">
        <v>124.09729141366728</v>
      </c>
      <c r="S684" s="1">
        <v>24.097295413667197</v>
      </c>
      <c r="T684" s="1">
        <v>24.878905936078539</v>
      </c>
      <c r="U684" s="14">
        <v>0.78161052241134144</v>
      </c>
    </row>
    <row r="685" spans="17:21" x14ac:dyDescent="0.2">
      <c r="Q685" s="23">
        <v>684</v>
      </c>
      <c r="R685" s="9">
        <v>98.554354266988653</v>
      </c>
      <c r="S685" s="1">
        <v>0</v>
      </c>
      <c r="T685" s="1">
        <v>-1.0837469147616687</v>
      </c>
      <c r="U685" s="14">
        <v>-1.0837469147616687</v>
      </c>
    </row>
    <row r="686" spans="17:21" x14ac:dyDescent="0.2">
      <c r="Q686" s="23">
        <v>685</v>
      </c>
      <c r="R686" s="9">
        <v>91.448752271755325</v>
      </c>
      <c r="S686" s="1">
        <v>0</v>
      </c>
      <c r="T686" s="1">
        <v>2.0596514226574327</v>
      </c>
      <c r="U686" s="14">
        <v>2.0596514226574327</v>
      </c>
    </row>
    <row r="687" spans="17:21" x14ac:dyDescent="0.2">
      <c r="Q687" s="23">
        <v>686</v>
      </c>
      <c r="R687" s="9">
        <v>155.48340097289255</v>
      </c>
      <c r="S687" s="1">
        <v>55.483404972892473</v>
      </c>
      <c r="T687" s="1">
        <v>55.334213314540548</v>
      </c>
      <c r="U687" s="14">
        <v>-0.14919165835192416</v>
      </c>
    </row>
    <row r="688" spans="17:21" x14ac:dyDescent="0.2">
      <c r="Q688" s="23">
        <v>687</v>
      </c>
      <c r="R688" s="9">
        <v>88.284638722335487</v>
      </c>
      <c r="S688" s="1">
        <v>0</v>
      </c>
      <c r="T688" s="1">
        <v>-0.59984619148841023</v>
      </c>
      <c r="U688" s="14">
        <v>-0.59984619148841023</v>
      </c>
    </row>
    <row r="689" spans="17:21" x14ac:dyDescent="0.2">
      <c r="Q689" s="23">
        <v>688</v>
      </c>
      <c r="R689" s="9">
        <v>79.741435060137306</v>
      </c>
      <c r="S689" s="1">
        <v>0</v>
      </c>
      <c r="T689" s="1">
        <v>-1.1415201578068783</v>
      </c>
      <c r="U689" s="14">
        <v>-1.1415201578068783</v>
      </c>
    </row>
    <row r="690" spans="17:21" x14ac:dyDescent="0.2">
      <c r="Q690" s="23">
        <v>689</v>
      </c>
      <c r="R690" s="9">
        <v>86.038449846795501</v>
      </c>
      <c r="S690" s="1">
        <v>0</v>
      </c>
      <c r="T690" s="1">
        <v>-1.3108143887822621</v>
      </c>
      <c r="U690" s="14">
        <v>-1.3108143887822621</v>
      </c>
    </row>
    <row r="691" spans="17:21" x14ac:dyDescent="0.2">
      <c r="Q691" s="23">
        <v>690</v>
      </c>
      <c r="R691" s="9">
        <v>83.357772789756311</v>
      </c>
      <c r="S691" s="1">
        <v>0</v>
      </c>
      <c r="T691" s="1">
        <v>-0.54021553955484025</v>
      </c>
      <c r="U691" s="14">
        <v>-0.54021553955484025</v>
      </c>
    </row>
    <row r="692" spans="17:21" x14ac:dyDescent="0.2">
      <c r="Q692" s="23">
        <v>691</v>
      </c>
      <c r="R692" s="9">
        <v>158.60719143246408</v>
      </c>
      <c r="S692" s="1">
        <v>58.607195432463996</v>
      </c>
      <c r="T692" s="1">
        <v>56.698237404084793</v>
      </c>
      <c r="U692" s="14">
        <v>-1.9089580283792031</v>
      </c>
    </row>
    <row r="693" spans="17:21" x14ac:dyDescent="0.2">
      <c r="Q693" s="23">
        <v>692</v>
      </c>
      <c r="R693" s="9">
        <v>124.61345606783328</v>
      </c>
      <c r="S693" s="1">
        <v>24.613460067833202</v>
      </c>
      <c r="T693" s="1">
        <v>25.036994271915134</v>
      </c>
      <c r="U693" s="14">
        <v>0.42353420408193188</v>
      </c>
    </row>
    <row r="694" spans="17:21" x14ac:dyDescent="0.2">
      <c r="Q694" s="23">
        <v>693</v>
      </c>
      <c r="R694" s="9">
        <v>81.002890634103949</v>
      </c>
      <c r="S694" s="1">
        <v>0</v>
      </c>
      <c r="T694" s="1">
        <v>-0.10435075409656185</v>
      </c>
      <c r="U694" s="14">
        <v>-0.10435075409656185</v>
      </c>
    </row>
    <row r="695" spans="17:21" x14ac:dyDescent="0.2">
      <c r="Q695" s="23">
        <v>694</v>
      </c>
      <c r="R695" s="9">
        <v>87.250047951113842</v>
      </c>
      <c r="S695" s="1">
        <v>0</v>
      </c>
      <c r="T695" s="1">
        <v>0.92107731765253131</v>
      </c>
      <c r="U695" s="14">
        <v>0.92107731765253131</v>
      </c>
    </row>
    <row r="696" spans="17:21" x14ac:dyDescent="0.2">
      <c r="Q696" s="23">
        <v>695</v>
      </c>
      <c r="R696" s="9">
        <v>77.867677882726497</v>
      </c>
      <c r="S696" s="1">
        <v>0</v>
      </c>
      <c r="T696" s="1">
        <v>2.3816262051562778E-3</v>
      </c>
      <c r="U696" s="14">
        <v>2.3816262051562778E-3</v>
      </c>
    </row>
    <row r="697" spans="17:21" x14ac:dyDescent="0.2">
      <c r="Q697" s="23">
        <v>696</v>
      </c>
      <c r="R697" s="9">
        <v>137.11078601706029</v>
      </c>
      <c r="S697" s="1">
        <v>37.110790017060211</v>
      </c>
      <c r="T697" s="1">
        <v>37.588512041686016</v>
      </c>
      <c r="U697" s="14">
        <v>0.47772202462580537</v>
      </c>
    </row>
    <row r="698" spans="17:21" x14ac:dyDescent="0.2">
      <c r="Q698" s="23">
        <v>697</v>
      </c>
      <c r="R698" s="9">
        <v>102.36580105341271</v>
      </c>
      <c r="S698" s="1">
        <v>2.3658050534126289</v>
      </c>
      <c r="T698" s="1">
        <v>2.0116948381793094</v>
      </c>
      <c r="U698" s="14">
        <v>-0.35411021523331954</v>
      </c>
    </row>
    <row r="699" spans="17:21" x14ac:dyDescent="0.2">
      <c r="Q699" s="23">
        <v>698</v>
      </c>
      <c r="R699" s="9">
        <v>138.30483307426334</v>
      </c>
      <c r="S699" s="1">
        <v>38.304837074263261</v>
      </c>
      <c r="T699" s="1">
        <v>38.31708748598156</v>
      </c>
      <c r="U699" s="14">
        <v>1.2250411718298437E-2</v>
      </c>
    </row>
    <row r="700" spans="17:21" x14ac:dyDescent="0.2">
      <c r="Q700" s="23">
        <v>699</v>
      </c>
      <c r="R700" s="9">
        <v>69.640956299391888</v>
      </c>
      <c r="S700" s="1">
        <v>0</v>
      </c>
      <c r="T700" s="1">
        <v>-2.2774897741600482</v>
      </c>
      <c r="U700" s="14">
        <v>-2.2774897741600482</v>
      </c>
    </row>
    <row r="701" spans="17:21" x14ac:dyDescent="0.2">
      <c r="Q701" s="23">
        <v>700</v>
      </c>
      <c r="R701" s="9">
        <v>114.36233693214781</v>
      </c>
      <c r="S701" s="1">
        <v>14.362340932147731</v>
      </c>
      <c r="T701" s="1">
        <v>15.341105737675278</v>
      </c>
      <c r="U701" s="14">
        <v>0.97876480552754686</v>
      </c>
    </row>
    <row r="702" spans="17:21" x14ac:dyDescent="0.2">
      <c r="Q702" s="23">
        <v>701</v>
      </c>
      <c r="R702" s="9">
        <v>94.927732680377801</v>
      </c>
      <c r="S702" s="1">
        <v>0</v>
      </c>
      <c r="T702" s="1">
        <v>-1.2477114982808164</v>
      </c>
      <c r="U702" s="14">
        <v>-1.2477114982808164</v>
      </c>
    </row>
    <row r="703" spans="17:21" x14ac:dyDescent="0.2">
      <c r="Q703" s="23">
        <v>702</v>
      </c>
      <c r="R703" s="9">
        <v>96.206245520384215</v>
      </c>
      <c r="S703" s="1">
        <v>0</v>
      </c>
      <c r="T703" s="1">
        <v>1.518043305789142</v>
      </c>
      <c r="U703" s="14">
        <v>1.518043305789142</v>
      </c>
    </row>
    <row r="704" spans="17:21" x14ac:dyDescent="0.2">
      <c r="Q704" s="23">
        <v>703</v>
      </c>
      <c r="R704" s="9">
        <v>120.97727731152177</v>
      </c>
      <c r="S704" s="1">
        <v>20.977281311521693</v>
      </c>
      <c r="T704" s="1">
        <v>20.428981743437632</v>
      </c>
      <c r="U704" s="14">
        <v>-0.54829956808406166</v>
      </c>
    </row>
    <row r="705" spans="17:21" x14ac:dyDescent="0.2">
      <c r="Q705" s="23">
        <v>704</v>
      </c>
      <c r="R705" s="9">
        <v>76.410526039981448</v>
      </c>
      <c r="S705" s="1">
        <v>0</v>
      </c>
      <c r="T705" s="1">
        <v>-1.2190818778229153</v>
      </c>
      <c r="U705" s="14">
        <v>-1.2190818778229153</v>
      </c>
    </row>
    <row r="706" spans="17:21" x14ac:dyDescent="0.2">
      <c r="Q706" s="23">
        <v>705</v>
      </c>
      <c r="R706" s="9">
        <v>104.10182769566492</v>
      </c>
      <c r="S706" s="1">
        <v>4.101831695664842</v>
      </c>
      <c r="T706" s="1">
        <v>3.8644055602475191</v>
      </c>
      <c r="U706" s="14">
        <v>-0.23742613541732283</v>
      </c>
    </row>
    <row r="707" spans="17:21" x14ac:dyDescent="0.2">
      <c r="Q707" s="23">
        <v>706</v>
      </c>
      <c r="R707" s="9">
        <v>178.5418197373055</v>
      </c>
      <c r="S707" s="1">
        <v>78.541823737305421</v>
      </c>
      <c r="T707" s="1">
        <v>78.059499403721773</v>
      </c>
      <c r="U707" s="14">
        <v>-0.48232433358364801</v>
      </c>
    </row>
    <row r="708" spans="17:21" x14ac:dyDescent="0.2">
      <c r="Q708" s="23">
        <v>707</v>
      </c>
      <c r="R708" s="9">
        <v>100.41708046259366</v>
      </c>
      <c r="S708" s="1">
        <v>0.41708446259357856</v>
      </c>
      <c r="T708" s="1">
        <v>3.6566967052600745</v>
      </c>
      <c r="U708" s="14">
        <v>3.2396122426664959</v>
      </c>
    </row>
    <row r="709" spans="17:21" x14ac:dyDescent="0.2">
      <c r="Q709" s="23">
        <v>708</v>
      </c>
      <c r="R709" s="9">
        <v>85.927395242150482</v>
      </c>
      <c r="S709" s="1">
        <v>0</v>
      </c>
      <c r="T709" s="1">
        <v>1.0040322860836612</v>
      </c>
      <c r="U709" s="14">
        <v>1.0040322860836612</v>
      </c>
    </row>
    <row r="710" spans="17:21" x14ac:dyDescent="0.2">
      <c r="Q710" s="23">
        <v>709</v>
      </c>
      <c r="R710" s="9">
        <v>129.06628097239272</v>
      </c>
      <c r="S710" s="1">
        <v>29.066284972392637</v>
      </c>
      <c r="T710" s="1">
        <v>28.118668243648699</v>
      </c>
      <c r="U710" s="14">
        <v>-0.9476167287439381</v>
      </c>
    </row>
    <row r="711" spans="17:21" x14ac:dyDescent="0.2">
      <c r="Q711" s="23">
        <v>710</v>
      </c>
      <c r="R711" s="9">
        <v>99.391771573094886</v>
      </c>
      <c r="S711" s="1">
        <v>7.5022130330018721E-208</v>
      </c>
      <c r="T711" s="1">
        <v>3.0585451203572731</v>
      </c>
      <c r="U711" s="14">
        <v>3.0585451203572731</v>
      </c>
    </row>
    <row r="712" spans="17:21" x14ac:dyDescent="0.2">
      <c r="Q712" s="23">
        <v>711</v>
      </c>
      <c r="R712" s="9">
        <v>117.98905956420101</v>
      </c>
      <c r="S712" s="1">
        <v>17.989063564200933</v>
      </c>
      <c r="T712" s="1">
        <v>17.089351126463441</v>
      </c>
      <c r="U712" s="14">
        <v>-0.89971243773749165</v>
      </c>
    </row>
    <row r="713" spans="17:21" x14ac:dyDescent="0.2">
      <c r="Q713" s="23">
        <v>712</v>
      </c>
      <c r="R713" s="9">
        <v>129.10362430417703</v>
      </c>
      <c r="S713" s="1">
        <v>29.103628304176951</v>
      </c>
      <c r="T713" s="1">
        <v>28.100836696335662</v>
      </c>
      <c r="U713" s="14">
        <v>-1.0027916078412886</v>
      </c>
    </row>
    <row r="714" spans="17:21" x14ac:dyDescent="0.2">
      <c r="Q714" s="23">
        <v>713</v>
      </c>
      <c r="R714" s="9">
        <v>79.920940013887702</v>
      </c>
      <c r="S714" s="1">
        <v>0</v>
      </c>
      <c r="T714" s="1">
        <v>-0.69769816275668706</v>
      </c>
      <c r="U714" s="14">
        <v>-0.69769816275668706</v>
      </c>
    </row>
    <row r="715" spans="17:21" x14ac:dyDescent="0.2">
      <c r="Q715" s="23">
        <v>714</v>
      </c>
      <c r="R715" s="9">
        <v>160.17096594130794</v>
      </c>
      <c r="S715" s="1">
        <v>60.17096994130786</v>
      </c>
      <c r="T715" s="1">
        <v>60.076420346163744</v>
      </c>
      <c r="U715" s="14">
        <v>-9.4549595144115983E-2</v>
      </c>
    </row>
    <row r="716" spans="17:21" x14ac:dyDescent="0.2">
      <c r="Q716" s="23">
        <v>715</v>
      </c>
      <c r="R716" s="9">
        <v>88.50997840049402</v>
      </c>
      <c r="S716" s="1">
        <v>0</v>
      </c>
      <c r="T716" s="1">
        <v>-2.4974526501890359E-2</v>
      </c>
      <c r="U716" s="14">
        <v>-2.4974526501890359E-2</v>
      </c>
    </row>
    <row r="717" spans="17:21" x14ac:dyDescent="0.2">
      <c r="Q717" s="23">
        <v>716</v>
      </c>
      <c r="R717" s="9">
        <v>153.84495095583048</v>
      </c>
      <c r="S717" s="1">
        <v>53.844954955830403</v>
      </c>
      <c r="T717" s="1">
        <v>52.856440751105538</v>
      </c>
      <c r="U717" s="14">
        <v>-0.98851420472486495</v>
      </c>
    </row>
    <row r="718" spans="17:21" x14ac:dyDescent="0.2">
      <c r="Q718" s="23">
        <v>717</v>
      </c>
      <c r="R718" s="9">
        <v>121.894539043319</v>
      </c>
      <c r="S718" s="1">
        <v>21.894543043318919</v>
      </c>
      <c r="T718" s="1">
        <v>20.781392991209813</v>
      </c>
      <c r="U718" s="14">
        <v>-1.1131500521091056</v>
      </c>
    </row>
    <row r="719" spans="17:21" x14ac:dyDescent="0.2">
      <c r="Q719" s="23">
        <v>718</v>
      </c>
      <c r="R719" s="9">
        <v>111.30363218319934</v>
      </c>
      <c r="S719" s="1">
        <v>11.303636183199259</v>
      </c>
      <c r="T719" s="1">
        <v>11.133059295637125</v>
      </c>
      <c r="U719" s="14">
        <v>-0.17057688756213452</v>
      </c>
    </row>
    <row r="720" spans="17:21" x14ac:dyDescent="0.2">
      <c r="Q720" s="23">
        <v>719</v>
      </c>
      <c r="R720" s="9">
        <v>113.86133314018419</v>
      </c>
      <c r="S720" s="1">
        <v>13.861337140184105</v>
      </c>
      <c r="T720" s="1">
        <v>14.937941551723142</v>
      </c>
      <c r="U720" s="14">
        <v>1.0766044115390372</v>
      </c>
    </row>
    <row r="721" spans="17:21" x14ac:dyDescent="0.2">
      <c r="Q721" s="23">
        <v>720</v>
      </c>
      <c r="R721" s="9">
        <v>92.969547593945805</v>
      </c>
      <c r="S721" s="1">
        <v>0</v>
      </c>
      <c r="T721" s="1">
        <v>-1.3903928133545467</v>
      </c>
      <c r="U721" s="14">
        <v>-1.3903928133545467</v>
      </c>
    </row>
    <row r="722" spans="17:21" x14ac:dyDescent="0.2">
      <c r="Q722" s="23">
        <v>721</v>
      </c>
      <c r="R722" s="9">
        <v>93.315407862710373</v>
      </c>
      <c r="S722" s="1">
        <v>0</v>
      </c>
      <c r="T722" s="1">
        <v>1.0020243202727492</v>
      </c>
      <c r="U722" s="14">
        <v>1.0020243202727492</v>
      </c>
    </row>
    <row r="723" spans="17:21" x14ac:dyDescent="0.2">
      <c r="Q723" s="23">
        <v>722</v>
      </c>
      <c r="R723" s="9">
        <v>128.33263755027485</v>
      </c>
      <c r="S723" s="1">
        <v>28.332641550274772</v>
      </c>
      <c r="T723" s="1">
        <v>28.990316717246515</v>
      </c>
      <c r="U723" s="14">
        <v>0.65767516697174244</v>
      </c>
    </row>
    <row r="724" spans="17:21" x14ac:dyDescent="0.2">
      <c r="Q724" s="23">
        <v>723</v>
      </c>
      <c r="R724" s="9">
        <v>86.793941353554033</v>
      </c>
      <c r="S724" s="1">
        <v>0</v>
      </c>
      <c r="T724" s="1">
        <v>-0.2991305311487964</v>
      </c>
      <c r="U724" s="14">
        <v>-0.2991305311487964</v>
      </c>
    </row>
    <row r="725" spans="17:21" x14ac:dyDescent="0.2">
      <c r="Q725" s="23">
        <v>724</v>
      </c>
      <c r="R725" s="9">
        <v>102.17370659899058</v>
      </c>
      <c r="S725" s="1">
        <v>2.1737105989904961</v>
      </c>
      <c r="T725" s="1">
        <v>6.3535684259048537</v>
      </c>
      <c r="U725" s="14">
        <v>4.1798578269143576</v>
      </c>
    </row>
    <row r="726" spans="17:21" x14ac:dyDescent="0.2">
      <c r="Q726" s="23">
        <v>725</v>
      </c>
      <c r="R726" s="9">
        <v>115.890264580657</v>
      </c>
      <c r="S726" s="1">
        <v>15.890268580656922</v>
      </c>
      <c r="T726" s="1">
        <v>17.048852186334258</v>
      </c>
      <c r="U726" s="14">
        <v>1.158583605677336</v>
      </c>
    </row>
    <row r="727" spans="17:21" x14ac:dyDescent="0.2">
      <c r="Q727" s="23">
        <v>726</v>
      </c>
      <c r="R727" s="9">
        <v>83.188211221265917</v>
      </c>
      <c r="S727" s="1">
        <v>0</v>
      </c>
      <c r="T727" s="1">
        <v>-1.3746029830066886</v>
      </c>
      <c r="U727" s="14">
        <v>-1.3746029830066886</v>
      </c>
    </row>
    <row r="728" spans="17:21" x14ac:dyDescent="0.2">
      <c r="Q728" s="23">
        <v>727</v>
      </c>
      <c r="R728" s="9">
        <v>103.20599978033533</v>
      </c>
      <c r="S728" s="1">
        <v>3.2060037803352515</v>
      </c>
      <c r="T728" s="1">
        <v>4.4389398328735155</v>
      </c>
      <c r="U728" s="14">
        <v>1.232936052538264</v>
      </c>
    </row>
    <row r="729" spans="17:21" x14ac:dyDescent="0.2">
      <c r="Q729" s="23">
        <v>728</v>
      </c>
      <c r="R729" s="9">
        <v>107.4488395393912</v>
      </c>
      <c r="S729" s="1">
        <v>7.4488435393911203</v>
      </c>
      <c r="T729" s="1">
        <v>8.0230598467618961</v>
      </c>
      <c r="U729" s="14">
        <v>0.57421630737077578</v>
      </c>
    </row>
    <row r="730" spans="17:21" x14ac:dyDescent="0.2">
      <c r="Q730" s="23">
        <v>729</v>
      </c>
      <c r="R730" s="9">
        <v>96.126251309048016</v>
      </c>
      <c r="S730" s="1">
        <v>0</v>
      </c>
      <c r="T730" s="1">
        <v>0.11707434734278177</v>
      </c>
      <c r="U730" s="14">
        <v>0.11707434734278177</v>
      </c>
    </row>
    <row r="731" spans="17:21" x14ac:dyDescent="0.2">
      <c r="Q731" s="23">
        <v>730</v>
      </c>
      <c r="R731" s="9">
        <v>83.631352714191593</v>
      </c>
      <c r="S731" s="1">
        <v>0</v>
      </c>
      <c r="T731" s="1">
        <v>-0.59696074012783329</v>
      </c>
      <c r="U731" s="14">
        <v>-0.59696074012783329</v>
      </c>
    </row>
    <row r="732" spans="17:21" x14ac:dyDescent="0.2">
      <c r="Q732" s="23">
        <v>731</v>
      </c>
      <c r="R732" s="9">
        <v>75.596255970236768</v>
      </c>
      <c r="S732" s="1">
        <v>0</v>
      </c>
      <c r="T732" s="1">
        <v>-0.71082703906754741</v>
      </c>
      <c r="U732" s="14">
        <v>-0.71082703906754741</v>
      </c>
    </row>
    <row r="733" spans="17:21" x14ac:dyDescent="0.2">
      <c r="Q733" s="23">
        <v>732</v>
      </c>
      <c r="R733" s="9">
        <v>129.67558834599205</v>
      </c>
      <c r="S733" s="1">
        <v>29.675592345991973</v>
      </c>
      <c r="T733" s="1">
        <v>30.622480648063004</v>
      </c>
      <c r="U733" s="14">
        <v>0.94688830207103081</v>
      </c>
    </row>
    <row r="734" spans="17:21" x14ac:dyDescent="0.2">
      <c r="Q734" s="23">
        <v>733</v>
      </c>
      <c r="R734" s="9">
        <v>98.609821974655404</v>
      </c>
      <c r="S734" s="1">
        <v>0</v>
      </c>
      <c r="T734" s="1">
        <v>2.1744311356799244</v>
      </c>
      <c r="U734" s="14">
        <v>2.1744311356799244</v>
      </c>
    </row>
    <row r="735" spans="17:21" x14ac:dyDescent="0.2">
      <c r="Q735" s="23">
        <v>734</v>
      </c>
      <c r="R735" s="9">
        <v>105.34109468356539</v>
      </c>
      <c r="S735" s="1">
        <v>5.3410986835653063</v>
      </c>
      <c r="T735" s="1">
        <v>7.6694476190599801</v>
      </c>
      <c r="U735" s="14">
        <v>2.3283489354946738</v>
      </c>
    </row>
    <row r="736" spans="17:21" x14ac:dyDescent="0.2">
      <c r="Q736" s="23">
        <v>735</v>
      </c>
      <c r="R736" s="9">
        <v>85.351738192588286</v>
      </c>
      <c r="S736" s="1">
        <v>0</v>
      </c>
      <c r="T736" s="1">
        <v>2.5634311037705788</v>
      </c>
      <c r="U736" s="14">
        <v>2.5634311037705788</v>
      </c>
    </row>
    <row r="737" spans="17:21" x14ac:dyDescent="0.2">
      <c r="Q737" s="23">
        <v>736</v>
      </c>
      <c r="R737" s="9">
        <v>91.436812757084212</v>
      </c>
      <c r="S737" s="1">
        <v>0</v>
      </c>
      <c r="T737" s="1">
        <v>0.8037661949531234</v>
      </c>
      <c r="U737" s="14">
        <v>0.8037661949531234</v>
      </c>
    </row>
    <row r="738" spans="17:21" x14ac:dyDescent="0.2">
      <c r="Q738" s="23">
        <v>737</v>
      </c>
      <c r="R738" s="9">
        <v>76.939578721131284</v>
      </c>
      <c r="S738" s="1">
        <v>0</v>
      </c>
      <c r="T738" s="1">
        <v>-1.2480641080454633</v>
      </c>
      <c r="U738" s="14">
        <v>-1.2480641080454633</v>
      </c>
    </row>
    <row r="739" spans="17:21" x14ac:dyDescent="0.2">
      <c r="Q739" s="23">
        <v>738</v>
      </c>
      <c r="R739" s="9">
        <v>129.59147986976774</v>
      </c>
      <c r="S739" s="1">
        <v>29.591483869767657</v>
      </c>
      <c r="T739" s="1">
        <v>28.792308726945208</v>
      </c>
      <c r="U739" s="14">
        <v>-0.79917514282244895</v>
      </c>
    </row>
    <row r="740" spans="17:21" x14ac:dyDescent="0.2">
      <c r="Q740" s="23">
        <v>739</v>
      </c>
      <c r="R740" s="9">
        <v>135.56138906306757</v>
      </c>
      <c r="S740" s="1">
        <v>35.561393063067484</v>
      </c>
      <c r="T740" s="1">
        <v>34.584494102252108</v>
      </c>
      <c r="U740" s="14">
        <v>-0.97689896081537597</v>
      </c>
    </row>
    <row r="741" spans="17:21" x14ac:dyDescent="0.2">
      <c r="Q741" s="23">
        <v>740</v>
      </c>
      <c r="R741" s="9">
        <v>86.218244008306272</v>
      </c>
      <c r="S741" s="1">
        <v>0</v>
      </c>
      <c r="T741" s="1">
        <v>1.9245025152279791</v>
      </c>
      <c r="U741" s="14">
        <v>1.9245025152279791</v>
      </c>
    </row>
    <row r="742" spans="17:21" x14ac:dyDescent="0.2">
      <c r="Q742" s="23">
        <v>741</v>
      </c>
      <c r="R742" s="9">
        <v>113.98620258414675</v>
      </c>
      <c r="S742" s="1">
        <v>13.986206584146672</v>
      </c>
      <c r="T742" s="1">
        <v>14.286030167652783</v>
      </c>
      <c r="U742" s="14">
        <v>0.29982358350611094</v>
      </c>
    </row>
    <row r="743" spans="17:21" x14ac:dyDescent="0.2">
      <c r="Q743" s="23">
        <v>742</v>
      </c>
      <c r="R743" s="9">
        <v>69.493215911843848</v>
      </c>
      <c r="S743" s="1">
        <v>0</v>
      </c>
      <c r="T743" s="1">
        <v>-1.6237220327764115</v>
      </c>
      <c r="U743" s="14">
        <v>-1.6237220327764115</v>
      </c>
    </row>
    <row r="744" spans="17:21" x14ac:dyDescent="0.2">
      <c r="Q744" s="23">
        <v>743</v>
      </c>
      <c r="R744" s="9">
        <v>86.109905675616872</v>
      </c>
      <c r="S744" s="1">
        <v>0</v>
      </c>
      <c r="T744" s="1">
        <v>-1.9300625311733057</v>
      </c>
      <c r="U744" s="14">
        <v>-1.9300625311733057</v>
      </c>
    </row>
    <row r="745" spans="17:21" x14ac:dyDescent="0.2">
      <c r="Q745" s="23">
        <v>744</v>
      </c>
      <c r="R745" s="9">
        <v>99.486389956105583</v>
      </c>
      <c r="S745" s="1">
        <v>1.3634086585681756E-149</v>
      </c>
      <c r="T745" s="1">
        <v>1.3443648423284458</v>
      </c>
      <c r="U745" s="14">
        <v>1.3443648423284458</v>
      </c>
    </row>
    <row r="746" spans="17:21" x14ac:dyDescent="0.2">
      <c r="Q746" s="23">
        <v>745</v>
      </c>
      <c r="R746" s="9">
        <v>94.746190345149401</v>
      </c>
      <c r="S746" s="1">
        <v>0</v>
      </c>
      <c r="T746" s="1">
        <v>3.1299281031540858</v>
      </c>
      <c r="U746" s="14">
        <v>3.1299281031540858</v>
      </c>
    </row>
    <row r="747" spans="17:21" x14ac:dyDescent="0.2">
      <c r="Q747" s="23">
        <v>746</v>
      </c>
      <c r="R747" s="9">
        <v>112.77078111989881</v>
      </c>
      <c r="S747" s="1">
        <v>12.770785119898733</v>
      </c>
      <c r="T747" s="1">
        <v>10.526578456683922</v>
      </c>
      <c r="U747" s="14">
        <v>-2.2442066632148112</v>
      </c>
    </row>
    <row r="748" spans="17:21" x14ac:dyDescent="0.2">
      <c r="Q748" s="23">
        <v>747</v>
      </c>
      <c r="R748" s="9">
        <v>103.051003455334</v>
      </c>
      <c r="S748" s="1">
        <v>3.0510074553339166</v>
      </c>
      <c r="T748" s="1">
        <v>2.3425057983083661</v>
      </c>
      <c r="U748" s="14">
        <v>-0.70850165702555046</v>
      </c>
    </row>
    <row r="749" spans="17:21" x14ac:dyDescent="0.2">
      <c r="Q749" s="23">
        <v>748</v>
      </c>
      <c r="R749" s="9">
        <v>102.58207064837138</v>
      </c>
      <c r="S749" s="1">
        <v>2.5820746483713037</v>
      </c>
      <c r="T749" s="1">
        <v>4.283230741717432</v>
      </c>
      <c r="U749" s="14">
        <v>1.7011560933461283</v>
      </c>
    </row>
    <row r="750" spans="17:21" x14ac:dyDescent="0.2">
      <c r="Q750" s="23">
        <v>749</v>
      </c>
      <c r="R750" s="9">
        <v>99.049430225699609</v>
      </c>
      <c r="S750" s="1">
        <v>0</v>
      </c>
      <c r="T750" s="1">
        <v>2.3380992431314098</v>
      </c>
      <c r="U750" s="14">
        <v>2.3380992431314098</v>
      </c>
    </row>
    <row r="751" spans="17:21" x14ac:dyDescent="0.2">
      <c r="Q751" s="23">
        <v>750</v>
      </c>
      <c r="R751" s="9">
        <v>99.951146968987814</v>
      </c>
      <c r="S751" s="1">
        <v>4.774041533806006E-5</v>
      </c>
      <c r="T751" s="1">
        <v>-0.3891210355418534</v>
      </c>
      <c r="U751" s="14">
        <v>-0.38916877595719146</v>
      </c>
    </row>
    <row r="752" spans="17:21" x14ac:dyDescent="0.2">
      <c r="Q752" s="23">
        <v>751</v>
      </c>
      <c r="R752" s="9">
        <v>91.809688902336177</v>
      </c>
      <c r="S752" s="1">
        <v>0</v>
      </c>
      <c r="T752" s="1">
        <v>-0.2487399016898415</v>
      </c>
      <c r="U752" s="14">
        <v>-0.2487399016898415</v>
      </c>
    </row>
    <row r="753" spans="17:21" x14ac:dyDescent="0.2">
      <c r="Q753" s="23">
        <v>752</v>
      </c>
      <c r="R753" s="9">
        <v>99.422962384922897</v>
      </c>
      <c r="S753" s="1">
        <v>1.4794238177549716E-187</v>
      </c>
      <c r="T753" s="1">
        <v>1.0719074382094895</v>
      </c>
      <c r="U753" s="14">
        <v>1.0719074382094895</v>
      </c>
    </row>
    <row r="754" spans="17:21" x14ac:dyDescent="0.2">
      <c r="Q754" s="23">
        <v>753</v>
      </c>
      <c r="R754" s="9">
        <v>91.840294111866314</v>
      </c>
      <c r="S754" s="1">
        <v>0</v>
      </c>
      <c r="T754" s="1">
        <v>-1.6446244921870701</v>
      </c>
      <c r="U754" s="14">
        <v>-1.6446244921870701</v>
      </c>
    </row>
    <row r="755" spans="17:21" x14ac:dyDescent="0.2">
      <c r="Q755" s="23">
        <v>754</v>
      </c>
      <c r="R755" s="9">
        <v>73.585022274113243</v>
      </c>
      <c r="S755" s="1">
        <v>0</v>
      </c>
      <c r="T755" s="1">
        <v>-1.2012828544110938</v>
      </c>
      <c r="U755" s="14">
        <v>-1.2012828544110938</v>
      </c>
    </row>
    <row r="756" spans="17:21" x14ac:dyDescent="0.2">
      <c r="Q756" s="23">
        <v>755</v>
      </c>
      <c r="R756" s="9">
        <v>91.635474793064603</v>
      </c>
      <c r="S756" s="1">
        <v>0</v>
      </c>
      <c r="T756" s="1">
        <v>0.56676082190985611</v>
      </c>
      <c r="U756" s="14">
        <v>0.56676082190985611</v>
      </c>
    </row>
    <row r="757" spans="17:21" x14ac:dyDescent="0.2">
      <c r="Q757" s="23">
        <v>756</v>
      </c>
      <c r="R757" s="9">
        <v>108.86235682305959</v>
      </c>
      <c r="S757" s="1">
        <v>8.8623608230595039</v>
      </c>
      <c r="T757" s="1">
        <v>9.1751533874028581</v>
      </c>
      <c r="U757" s="14">
        <v>0.31279256434335423</v>
      </c>
    </row>
    <row r="758" spans="17:21" x14ac:dyDescent="0.2">
      <c r="Q758" s="23">
        <v>757</v>
      </c>
      <c r="R758" s="9">
        <v>84.877197975390672</v>
      </c>
      <c r="S758" s="1">
        <v>0</v>
      </c>
      <c r="T758" s="1">
        <v>2.3220707574127921</v>
      </c>
      <c r="U758" s="14">
        <v>2.3220707574127921</v>
      </c>
    </row>
    <row r="759" spans="17:21" x14ac:dyDescent="0.2">
      <c r="Q759" s="23">
        <v>758</v>
      </c>
      <c r="R759" s="9">
        <v>99.422179082607514</v>
      </c>
      <c r="S759" s="1">
        <v>4.715772280150458E-188</v>
      </c>
      <c r="T759" s="1">
        <v>1.7462939907903632</v>
      </c>
      <c r="U759" s="14">
        <v>1.7462939907903632</v>
      </c>
    </row>
    <row r="760" spans="17:21" x14ac:dyDescent="0.2">
      <c r="Q760" s="23">
        <v>759</v>
      </c>
      <c r="R760" s="9">
        <v>83.012922270969483</v>
      </c>
      <c r="S760" s="1">
        <v>0</v>
      </c>
      <c r="T760" s="1">
        <v>-1.8112900683303099</v>
      </c>
      <c r="U760" s="14">
        <v>-1.8112900683303099</v>
      </c>
    </row>
    <row r="761" spans="17:21" x14ac:dyDescent="0.2">
      <c r="Q761" s="23">
        <v>760</v>
      </c>
      <c r="R761" s="9">
        <v>83.393327670315813</v>
      </c>
      <c r="S761" s="1">
        <v>0</v>
      </c>
      <c r="T761" s="1">
        <v>-1.1997349204788872</v>
      </c>
      <c r="U761" s="14">
        <v>-1.1997349204788872</v>
      </c>
    </row>
    <row r="762" spans="17:21" x14ac:dyDescent="0.2">
      <c r="Q762" s="23">
        <v>761</v>
      </c>
      <c r="R762" s="9">
        <v>111.68956226640242</v>
      </c>
      <c r="S762" s="1">
        <v>11.689566266402338</v>
      </c>
      <c r="T762" s="1">
        <v>11.986119022891742</v>
      </c>
      <c r="U762" s="14">
        <v>0.2965527564894046</v>
      </c>
    </row>
    <row r="763" spans="17:21" x14ac:dyDescent="0.2">
      <c r="Q763" s="23">
        <v>762</v>
      </c>
      <c r="R763" s="9">
        <v>137.94128901531957</v>
      </c>
      <c r="S763" s="1">
        <v>37.941293015319488</v>
      </c>
      <c r="T763" s="1">
        <v>38.996068378905434</v>
      </c>
      <c r="U763" s="14">
        <v>1.0547753635859465</v>
      </c>
    </row>
    <row r="764" spans="17:21" x14ac:dyDescent="0.2">
      <c r="Q764" s="23">
        <v>763</v>
      </c>
      <c r="R764" s="9">
        <v>116.79139374275368</v>
      </c>
      <c r="S764" s="1">
        <v>16.791397742753603</v>
      </c>
      <c r="T764" s="1">
        <v>17.787071939798537</v>
      </c>
      <c r="U764" s="14">
        <v>0.99567419704493432</v>
      </c>
    </row>
    <row r="765" spans="17:21" x14ac:dyDescent="0.2">
      <c r="Q765" s="23">
        <v>764</v>
      </c>
      <c r="R765" s="9">
        <v>84.269793416840315</v>
      </c>
      <c r="S765" s="1">
        <v>0</v>
      </c>
      <c r="T765" s="1">
        <v>5.7433723651827737E-2</v>
      </c>
      <c r="U765" s="14">
        <v>5.7433723651827737E-2</v>
      </c>
    </row>
    <row r="766" spans="17:21" x14ac:dyDescent="0.2">
      <c r="Q766" s="23">
        <v>765</v>
      </c>
      <c r="R766" s="9">
        <v>164.47715716092364</v>
      </c>
      <c r="S766" s="1">
        <v>64.477161160923558</v>
      </c>
      <c r="T766" s="1">
        <v>64.366767363589901</v>
      </c>
      <c r="U766" s="14">
        <v>-0.11039379733365706</v>
      </c>
    </row>
    <row r="767" spans="17:21" x14ac:dyDescent="0.2">
      <c r="Q767" s="23">
        <v>766</v>
      </c>
      <c r="R767" s="9">
        <v>94.728776192399692</v>
      </c>
      <c r="S767" s="1">
        <v>0</v>
      </c>
      <c r="T767" s="1">
        <v>1.7755604023399556</v>
      </c>
      <c r="U767" s="14">
        <v>1.7755604023399556</v>
      </c>
    </row>
    <row r="768" spans="17:21" x14ac:dyDescent="0.2">
      <c r="Q768" s="23">
        <v>767</v>
      </c>
      <c r="R768" s="9">
        <v>100.08397452597724</v>
      </c>
      <c r="S768" s="1">
        <v>8.3978584581814175E-2</v>
      </c>
      <c r="T768" s="1">
        <v>0.79945448077765491</v>
      </c>
      <c r="U768" s="14">
        <v>0.71547589619584073</v>
      </c>
    </row>
    <row r="769" spans="17:21" x14ac:dyDescent="0.2">
      <c r="Q769" s="23">
        <v>768</v>
      </c>
      <c r="R769" s="9">
        <v>124.11589934636029</v>
      </c>
      <c r="S769" s="1">
        <v>24.115903346360213</v>
      </c>
      <c r="T769" s="1">
        <v>24.952188800249033</v>
      </c>
      <c r="U769" s="14">
        <v>0.83628545388882003</v>
      </c>
    </row>
    <row r="770" spans="17:21" x14ac:dyDescent="0.2">
      <c r="Q770" s="23">
        <v>769</v>
      </c>
      <c r="R770" s="9">
        <v>120.43717308420742</v>
      </c>
      <c r="S770" s="1">
        <v>20.437177084207335</v>
      </c>
      <c r="T770" s="1">
        <v>21.503853185546788</v>
      </c>
      <c r="U770" s="14">
        <v>1.0666761013394535</v>
      </c>
    </row>
    <row r="771" spans="17:21" x14ac:dyDescent="0.2">
      <c r="Q771" s="23">
        <v>770</v>
      </c>
      <c r="R771" s="9">
        <v>93.563320740301975</v>
      </c>
      <c r="S771" s="1">
        <v>0</v>
      </c>
      <c r="T771" s="1">
        <v>0.26832143343872339</v>
      </c>
      <c r="U771" s="14">
        <v>0.26832143343872339</v>
      </c>
    </row>
    <row r="772" spans="17:21" x14ac:dyDescent="0.2">
      <c r="Q772" s="23">
        <v>771</v>
      </c>
      <c r="R772" s="9">
        <v>118.26866920414206</v>
      </c>
      <c r="S772" s="1">
        <v>18.268673204141976</v>
      </c>
      <c r="T772" s="1">
        <v>16.821814601124913</v>
      </c>
      <c r="U772" s="14">
        <v>-1.4468586030170627</v>
      </c>
    </row>
    <row r="773" spans="17:21" x14ac:dyDescent="0.2">
      <c r="Q773" s="23">
        <v>772</v>
      </c>
      <c r="R773" s="9">
        <v>81.797342204977852</v>
      </c>
      <c r="S773" s="1">
        <v>0</v>
      </c>
      <c r="T773" s="1">
        <v>-1.3260401531092074</v>
      </c>
      <c r="U773" s="14">
        <v>-1.3260401531092074</v>
      </c>
    </row>
    <row r="774" spans="17:21" x14ac:dyDescent="0.2">
      <c r="Q774" s="23">
        <v>773</v>
      </c>
      <c r="R774" s="9">
        <v>86.925860586643594</v>
      </c>
      <c r="S774" s="1">
        <v>0</v>
      </c>
      <c r="T774" s="1">
        <v>1.5047037089131616</v>
      </c>
      <c r="U774" s="14">
        <v>1.5047037089131616</v>
      </c>
    </row>
    <row r="775" spans="17:21" x14ac:dyDescent="0.2">
      <c r="Q775" s="23">
        <v>774</v>
      </c>
      <c r="R775" s="9">
        <v>87.4263298453657</v>
      </c>
      <c r="S775" s="1">
        <v>0</v>
      </c>
      <c r="T775" s="1">
        <v>0.871763127353125</v>
      </c>
      <c r="U775" s="14">
        <v>0.871763127353125</v>
      </c>
    </row>
    <row r="776" spans="17:21" x14ac:dyDescent="0.2">
      <c r="Q776" s="23">
        <v>775</v>
      </c>
      <c r="R776" s="9">
        <v>107.08313292208494</v>
      </c>
      <c r="S776" s="1">
        <v>7.0831369220848615</v>
      </c>
      <c r="T776" s="1">
        <v>9.1796965198590783</v>
      </c>
      <c r="U776" s="14">
        <v>2.0965595977742169</v>
      </c>
    </row>
    <row r="777" spans="17:21" x14ac:dyDescent="0.2">
      <c r="Q777" s="23">
        <v>776</v>
      </c>
      <c r="R777" s="9">
        <v>103.34001738201243</v>
      </c>
      <c r="S777" s="1">
        <v>3.3400213820123525</v>
      </c>
      <c r="T777" s="1">
        <v>4.8271125299910551</v>
      </c>
      <c r="U777" s="14">
        <v>1.4870911479787026</v>
      </c>
    </row>
    <row r="778" spans="17:21" x14ac:dyDescent="0.2">
      <c r="Q778" s="23">
        <v>777</v>
      </c>
      <c r="R778" s="9">
        <v>87.178726713834862</v>
      </c>
      <c r="S778" s="1">
        <v>0</v>
      </c>
      <c r="T778" s="1">
        <v>0.70794187749440085</v>
      </c>
      <c r="U778" s="14">
        <v>0.70794187749440085</v>
      </c>
    </row>
    <row r="779" spans="17:21" x14ac:dyDescent="0.2">
      <c r="Q779" s="23">
        <v>778</v>
      </c>
      <c r="R779" s="9">
        <v>92.510078646130552</v>
      </c>
      <c r="S779" s="1">
        <v>0</v>
      </c>
      <c r="T779" s="1">
        <v>-4.0980259763462215</v>
      </c>
      <c r="U779" s="14">
        <v>-4.0980259763462215</v>
      </c>
    </row>
    <row r="780" spans="17:21" x14ac:dyDescent="0.2">
      <c r="Q780" s="23">
        <v>779</v>
      </c>
      <c r="R780" s="9">
        <v>73.827498914416239</v>
      </c>
      <c r="S780" s="1">
        <v>0</v>
      </c>
      <c r="T780" s="1">
        <v>-1.1552932897000143</v>
      </c>
      <c r="U780" s="14">
        <v>-1.1552932897000143</v>
      </c>
    </row>
    <row r="781" spans="17:21" x14ac:dyDescent="0.2">
      <c r="Q781" s="23">
        <v>780</v>
      </c>
      <c r="R781" s="9">
        <v>112.49077242047112</v>
      </c>
      <c r="S781" s="1">
        <v>12.490776420471036</v>
      </c>
      <c r="T781" s="1">
        <v>14.303899791615422</v>
      </c>
      <c r="U781" s="14">
        <v>1.8131233711443855</v>
      </c>
    </row>
    <row r="782" spans="17:21" x14ac:dyDescent="0.2">
      <c r="Q782" s="23">
        <v>781</v>
      </c>
      <c r="R782" s="9">
        <v>116.28103798642483</v>
      </c>
      <c r="S782" s="1">
        <v>16.281041986424754</v>
      </c>
      <c r="T782" s="1">
        <v>17.172699592050037</v>
      </c>
      <c r="U782" s="14">
        <v>0.89165760562528362</v>
      </c>
    </row>
    <row r="783" spans="17:21" x14ac:dyDescent="0.2">
      <c r="Q783" s="23">
        <v>782</v>
      </c>
      <c r="R783" s="9">
        <v>94.216964326238781</v>
      </c>
      <c r="S783" s="1">
        <v>0</v>
      </c>
      <c r="T783" s="1">
        <v>-0.85452140057595694</v>
      </c>
      <c r="U783" s="14">
        <v>-0.85452140057595694</v>
      </c>
    </row>
    <row r="784" spans="17:21" x14ac:dyDescent="0.2">
      <c r="Q784" s="23">
        <v>783</v>
      </c>
      <c r="R784" s="9">
        <v>89.621675384569471</v>
      </c>
      <c r="S784" s="1">
        <v>0</v>
      </c>
      <c r="T784" s="1">
        <v>0.81596540152301533</v>
      </c>
      <c r="U784" s="14">
        <v>0.81596540152301533</v>
      </c>
    </row>
    <row r="785" spans="17:21" x14ac:dyDescent="0.2">
      <c r="Q785" s="23">
        <v>784</v>
      </c>
      <c r="R785" s="9">
        <v>122.95907166637218</v>
      </c>
      <c r="S785" s="1">
        <v>22.959075666372101</v>
      </c>
      <c r="T785" s="1">
        <v>23.756710795713133</v>
      </c>
      <c r="U785" s="14">
        <v>0.79763512934103176</v>
      </c>
    </row>
    <row r="786" spans="17:21" x14ac:dyDescent="0.2">
      <c r="Q786" s="23">
        <v>785</v>
      </c>
      <c r="R786" s="9">
        <v>89.480904531280217</v>
      </c>
      <c r="S786" s="1">
        <v>0</v>
      </c>
      <c r="T786" s="1">
        <v>1.1471418649050549</v>
      </c>
      <c r="U786" s="14">
        <v>1.1471418649050549</v>
      </c>
    </row>
    <row r="787" spans="17:21" x14ac:dyDescent="0.2">
      <c r="Q787" s="23">
        <v>786</v>
      </c>
      <c r="R787" s="9">
        <v>65.900152838923987</v>
      </c>
      <c r="S787" s="1">
        <v>0</v>
      </c>
      <c r="T787" s="1">
        <v>-0.37809284467486953</v>
      </c>
      <c r="U787" s="14">
        <v>-0.37809284467486953</v>
      </c>
    </row>
    <row r="788" spans="17:21" x14ac:dyDescent="0.2">
      <c r="Q788" s="23">
        <v>787</v>
      </c>
      <c r="R788" s="9">
        <v>64.864375413128769</v>
      </c>
      <c r="S788" s="1">
        <v>0</v>
      </c>
      <c r="T788" s="1">
        <v>-0.36385416430296491</v>
      </c>
      <c r="U788" s="14">
        <v>-0.36385416430296491</v>
      </c>
    </row>
    <row r="789" spans="17:21" x14ac:dyDescent="0.2">
      <c r="Q789" s="23">
        <v>788</v>
      </c>
      <c r="R789" s="9">
        <v>126.72331489204991</v>
      </c>
      <c r="S789" s="1">
        <v>26.723318892049832</v>
      </c>
      <c r="T789" s="1">
        <v>24.79023485580565</v>
      </c>
      <c r="U789" s="14">
        <v>-1.9330840362441819</v>
      </c>
    </row>
    <row r="790" spans="17:21" x14ac:dyDescent="0.2">
      <c r="Q790" s="23">
        <v>789</v>
      </c>
      <c r="R790" s="9">
        <v>98.948318489851886</v>
      </c>
      <c r="S790" s="1">
        <v>0</v>
      </c>
      <c r="T790" s="1">
        <v>1.1848172019758891</v>
      </c>
      <c r="U790" s="14">
        <v>1.1848172019758891</v>
      </c>
    </row>
    <row r="791" spans="17:21" x14ac:dyDescent="0.2">
      <c r="Q791" s="23">
        <v>790</v>
      </c>
      <c r="R791" s="9">
        <v>124.4424247712475</v>
      </c>
      <c r="S791" s="1">
        <v>24.442428771247421</v>
      </c>
      <c r="T791" s="1">
        <v>24.0605554899753</v>
      </c>
      <c r="U791" s="14">
        <v>-0.38187328127212083</v>
      </c>
    </row>
    <row r="792" spans="17:21" x14ac:dyDescent="0.2">
      <c r="Q792" s="23">
        <v>791</v>
      </c>
      <c r="R792" s="9">
        <v>113.37436982028233</v>
      </c>
      <c r="S792" s="1">
        <v>13.374373820282244</v>
      </c>
      <c r="T792" s="1">
        <v>11.69416471521842</v>
      </c>
      <c r="U792" s="14">
        <v>-1.6802091050638239</v>
      </c>
    </row>
    <row r="793" spans="17:21" x14ac:dyDescent="0.2">
      <c r="Q793" s="23">
        <v>792</v>
      </c>
      <c r="R793" s="9">
        <v>98.567377268665709</v>
      </c>
      <c r="S793" s="1">
        <v>0</v>
      </c>
      <c r="T793" s="1">
        <v>0.30497227942165495</v>
      </c>
      <c r="U793" s="14">
        <v>0.30497227942165495</v>
      </c>
    </row>
    <row r="794" spans="17:21" x14ac:dyDescent="0.2">
      <c r="Q794" s="23">
        <v>793</v>
      </c>
      <c r="R794" s="9">
        <v>111.72149161711199</v>
      </c>
      <c r="S794" s="1">
        <v>11.721495617111913</v>
      </c>
      <c r="T794" s="1">
        <v>12.969964554483639</v>
      </c>
      <c r="U794" s="14">
        <v>1.2484689373717259</v>
      </c>
    </row>
    <row r="795" spans="17:21" x14ac:dyDescent="0.2">
      <c r="Q795" s="23">
        <v>794</v>
      </c>
      <c r="R795" s="9">
        <v>106.80207371729966</v>
      </c>
      <c r="S795" s="1">
        <v>6.8020777172995821</v>
      </c>
      <c r="T795" s="1">
        <v>6.4535014896849816</v>
      </c>
      <c r="U795" s="14">
        <v>-0.3485762276146005</v>
      </c>
    </row>
    <row r="796" spans="17:21" x14ac:dyDescent="0.2">
      <c r="Q796" s="23">
        <v>795</v>
      </c>
      <c r="R796" s="9">
        <v>139.15268627861792</v>
      </c>
      <c r="S796" s="1">
        <v>39.15269027861784</v>
      </c>
      <c r="T796" s="1">
        <v>38.584668335564857</v>
      </c>
      <c r="U796" s="14">
        <v>-0.56802194305298315</v>
      </c>
    </row>
    <row r="797" spans="17:21" x14ac:dyDescent="0.2">
      <c r="Q797" s="23">
        <v>796</v>
      </c>
      <c r="R797" s="9">
        <v>128.30108538586691</v>
      </c>
      <c r="S797" s="1">
        <v>28.301089385866831</v>
      </c>
      <c r="T797" s="1">
        <v>28.324768462757248</v>
      </c>
      <c r="U797" s="14">
        <v>2.367907689041715E-2</v>
      </c>
    </row>
    <row r="798" spans="17:21" x14ac:dyDescent="0.2">
      <c r="Q798" s="23">
        <v>797</v>
      </c>
      <c r="R798" s="9">
        <v>134.69906059692306</v>
      </c>
      <c r="S798" s="1">
        <v>34.69906459692298</v>
      </c>
      <c r="T798" s="1">
        <v>34.610539648845872</v>
      </c>
      <c r="U798" s="14">
        <v>-8.8524948077107979E-2</v>
      </c>
    </row>
    <row r="799" spans="17:21" x14ac:dyDescent="0.2">
      <c r="Q799" s="23">
        <v>798</v>
      </c>
      <c r="R799" s="9">
        <v>103.92927487082993</v>
      </c>
      <c r="S799" s="1">
        <v>3.9292788708298474</v>
      </c>
      <c r="T799" s="1">
        <v>6.3032281048164833</v>
      </c>
      <c r="U799" s="14">
        <v>2.3739492339866359</v>
      </c>
    </row>
    <row r="800" spans="17:21" x14ac:dyDescent="0.2">
      <c r="Q800" s="23">
        <v>799</v>
      </c>
      <c r="R800" s="9">
        <v>103.38434803798367</v>
      </c>
      <c r="S800" s="1">
        <v>3.3843520379835894</v>
      </c>
      <c r="T800" s="1">
        <v>-1.1592605700641201</v>
      </c>
      <c r="U800" s="14">
        <v>-4.5436126080477095</v>
      </c>
    </row>
    <row r="801" spans="17:21" x14ac:dyDescent="0.2">
      <c r="Q801" s="23">
        <v>800</v>
      </c>
      <c r="R801" s="9">
        <v>97.405682749362825</v>
      </c>
      <c r="S801" s="1">
        <v>0</v>
      </c>
      <c r="T801" s="1">
        <v>1.6102824685541481</v>
      </c>
      <c r="U801" s="14">
        <v>1.6102824685541481</v>
      </c>
    </row>
    <row r="802" spans="17:21" x14ac:dyDescent="0.2">
      <c r="Q802" s="23">
        <v>801</v>
      </c>
      <c r="R802" s="9">
        <v>98.048958797611121</v>
      </c>
      <c r="S802" s="1">
        <v>0</v>
      </c>
      <c r="T802" s="1">
        <v>1.4464029087241101</v>
      </c>
      <c r="U802" s="14">
        <v>1.4464029087241101</v>
      </c>
    </row>
    <row r="803" spans="17:21" x14ac:dyDescent="0.2">
      <c r="Q803" s="23">
        <v>802</v>
      </c>
      <c r="R803" s="9">
        <v>91.415700024248963</v>
      </c>
      <c r="S803" s="1">
        <v>0</v>
      </c>
      <c r="T803" s="1">
        <v>-2.961590105690397</v>
      </c>
      <c r="U803" s="14">
        <v>-2.961590105690397</v>
      </c>
    </row>
    <row r="804" spans="17:21" x14ac:dyDescent="0.2">
      <c r="Q804" s="23">
        <v>803</v>
      </c>
      <c r="R804" s="9">
        <v>113.32148156753976</v>
      </c>
      <c r="S804" s="1">
        <v>13.321485567539682</v>
      </c>
      <c r="T804" s="1">
        <v>13.569163356339473</v>
      </c>
      <c r="U804" s="14">
        <v>0.24767778879979119</v>
      </c>
    </row>
    <row r="805" spans="17:21" x14ac:dyDescent="0.2">
      <c r="Q805" s="23">
        <v>804</v>
      </c>
      <c r="R805" s="9">
        <v>113.02536980752998</v>
      </c>
      <c r="S805" s="1">
        <v>13.025373807529903</v>
      </c>
      <c r="T805" s="1">
        <v>14.000833832958008</v>
      </c>
      <c r="U805" s="14">
        <v>0.97546002542810584</v>
      </c>
    </row>
    <row r="806" spans="17:21" x14ac:dyDescent="0.2">
      <c r="Q806" s="23">
        <v>805</v>
      </c>
      <c r="R806" s="9">
        <v>86.91294468908697</v>
      </c>
      <c r="S806" s="1">
        <v>0</v>
      </c>
      <c r="T806" s="1">
        <v>-0.68025043516267469</v>
      </c>
      <c r="U806" s="14">
        <v>-0.68025043516267469</v>
      </c>
    </row>
    <row r="807" spans="17:21" x14ac:dyDescent="0.2">
      <c r="Q807" s="23">
        <v>806</v>
      </c>
      <c r="R807" s="9">
        <v>98.9494311320191</v>
      </c>
      <c r="S807" s="1">
        <v>0</v>
      </c>
      <c r="T807" s="1">
        <v>0.66326654677102681</v>
      </c>
      <c r="U807" s="14">
        <v>0.66326654677102681</v>
      </c>
    </row>
    <row r="808" spans="17:21" x14ac:dyDescent="0.2">
      <c r="Q808" s="23">
        <v>807</v>
      </c>
      <c r="R808" s="9">
        <v>136.61393963689122</v>
      </c>
      <c r="S808" s="1">
        <v>36.613943636891136</v>
      </c>
      <c r="T808" s="1">
        <v>35.651389205441092</v>
      </c>
      <c r="U808" s="14">
        <v>-0.96255443145004449</v>
      </c>
    </row>
    <row r="809" spans="17:21" x14ac:dyDescent="0.2">
      <c r="Q809" s="23">
        <v>808</v>
      </c>
      <c r="R809" s="9">
        <v>157.74373211665267</v>
      </c>
      <c r="S809" s="1">
        <v>57.743736116652585</v>
      </c>
      <c r="T809" s="1">
        <v>55.913457611051626</v>
      </c>
      <c r="U809" s="14">
        <v>-1.8302785056009583</v>
      </c>
    </row>
    <row r="810" spans="17:21" x14ac:dyDescent="0.2">
      <c r="Q810" s="23">
        <v>809</v>
      </c>
      <c r="R810" s="9">
        <v>87.004516030800986</v>
      </c>
      <c r="S810" s="1">
        <v>0</v>
      </c>
      <c r="T810" s="1">
        <v>-3.6696606615414922</v>
      </c>
      <c r="U810" s="14">
        <v>-3.6696606615414922</v>
      </c>
    </row>
    <row r="811" spans="17:21" x14ac:dyDescent="0.2">
      <c r="Q811" s="23">
        <v>810</v>
      </c>
      <c r="R811" s="9">
        <v>105.23671488331158</v>
      </c>
      <c r="S811" s="1">
        <v>5.2367188833114966</v>
      </c>
      <c r="T811" s="1">
        <v>6.5283336335797912</v>
      </c>
      <c r="U811" s="14">
        <v>1.2916147502682946</v>
      </c>
    </row>
    <row r="812" spans="17:21" x14ac:dyDescent="0.2">
      <c r="Q812" s="23">
        <v>811</v>
      </c>
      <c r="R812" s="9">
        <v>85.468993160541402</v>
      </c>
      <c r="S812" s="1">
        <v>0</v>
      </c>
      <c r="T812" s="1">
        <v>0.24345318130071231</v>
      </c>
      <c r="U812" s="14">
        <v>0.24345318130071231</v>
      </c>
    </row>
    <row r="813" spans="17:21" x14ac:dyDescent="0.2">
      <c r="Q813" s="23">
        <v>812</v>
      </c>
      <c r="R813" s="9">
        <v>108.66012783963002</v>
      </c>
      <c r="S813" s="1">
        <v>8.6601318396299405</v>
      </c>
      <c r="T813" s="1">
        <v>8.4232111752608603</v>
      </c>
      <c r="U813" s="14">
        <v>-0.23692066436908021</v>
      </c>
    </row>
    <row r="814" spans="17:21" x14ac:dyDescent="0.2">
      <c r="Q814" s="23">
        <v>813</v>
      </c>
      <c r="R814" s="9">
        <v>86.158282400435297</v>
      </c>
      <c r="S814" s="1">
        <v>0</v>
      </c>
      <c r="T814" s="1">
        <v>0.86904364149597491</v>
      </c>
      <c r="U814" s="14">
        <v>0.86904364149597491</v>
      </c>
    </row>
    <row r="815" spans="17:21" x14ac:dyDescent="0.2">
      <c r="Q815" s="23">
        <v>814</v>
      </c>
      <c r="R815" s="9">
        <v>102.12039122377736</v>
      </c>
      <c r="S815" s="1">
        <v>2.1203952237772796</v>
      </c>
      <c r="T815" s="1">
        <v>1.790307017004892</v>
      </c>
      <c r="U815" s="14">
        <v>-0.33008820677238759</v>
      </c>
    </row>
    <row r="816" spans="17:21" x14ac:dyDescent="0.2">
      <c r="Q816" s="23">
        <v>815</v>
      </c>
      <c r="R816" s="9">
        <v>104.50056315031158</v>
      </c>
      <c r="S816" s="1">
        <v>4.5005671503114968</v>
      </c>
      <c r="T816" s="1">
        <v>7.0677804023545576</v>
      </c>
      <c r="U816" s="14">
        <v>2.5672132520430608</v>
      </c>
    </row>
    <row r="817" spans="17:21" x14ac:dyDescent="0.2">
      <c r="Q817" s="23">
        <v>816</v>
      </c>
      <c r="R817" s="9">
        <v>80.917855261607613</v>
      </c>
      <c r="S817" s="1">
        <v>0</v>
      </c>
      <c r="T817" s="1">
        <v>-1.4388236265715393</v>
      </c>
      <c r="U817" s="14">
        <v>-1.4388236265715393</v>
      </c>
    </row>
    <row r="818" spans="17:21" x14ac:dyDescent="0.2">
      <c r="Q818" s="23">
        <v>817</v>
      </c>
      <c r="R818" s="9">
        <v>84.215953682956439</v>
      </c>
      <c r="S818" s="1">
        <v>0</v>
      </c>
      <c r="T818" s="1">
        <v>-0.13465359764165288</v>
      </c>
      <c r="U818" s="14">
        <v>-0.13465359764165288</v>
      </c>
    </row>
    <row r="819" spans="17:21" x14ac:dyDescent="0.2">
      <c r="Q819" s="23">
        <v>818</v>
      </c>
      <c r="R819" s="9">
        <v>90.004990708698998</v>
      </c>
      <c r="S819" s="1">
        <v>0</v>
      </c>
      <c r="T819" s="1">
        <v>-0.12452833319059309</v>
      </c>
      <c r="U819" s="14">
        <v>-0.12452833319059309</v>
      </c>
    </row>
    <row r="820" spans="17:21" x14ac:dyDescent="0.2">
      <c r="Q820" s="23">
        <v>819</v>
      </c>
      <c r="R820" s="9">
        <v>81.339743404428773</v>
      </c>
      <c r="S820" s="1">
        <v>0</v>
      </c>
      <c r="T820" s="1">
        <v>-0.33418911447328581</v>
      </c>
      <c r="U820" s="14">
        <v>-0.33418911447328581</v>
      </c>
    </row>
    <row r="821" spans="17:21" x14ac:dyDescent="0.2">
      <c r="Q821" s="23">
        <v>820</v>
      </c>
      <c r="R821" s="9">
        <v>128.55182416145118</v>
      </c>
      <c r="S821" s="1">
        <v>28.551828161451098</v>
      </c>
      <c r="T821" s="1">
        <v>30.374043977578239</v>
      </c>
      <c r="U821" s="14">
        <v>1.8222158161271409</v>
      </c>
    </row>
    <row r="822" spans="17:21" x14ac:dyDescent="0.2">
      <c r="Q822" s="23">
        <v>821</v>
      </c>
      <c r="R822" s="9">
        <v>117.71713307065323</v>
      </c>
      <c r="S822" s="1">
        <v>17.717137070653152</v>
      </c>
      <c r="T822" s="1">
        <v>17.378618920813096</v>
      </c>
      <c r="U822" s="14">
        <v>-0.33851814984005557</v>
      </c>
    </row>
    <row r="823" spans="17:21" x14ac:dyDescent="0.2">
      <c r="Q823" s="23">
        <v>822</v>
      </c>
      <c r="R823" s="9">
        <v>145.06464534978443</v>
      </c>
      <c r="S823" s="1">
        <v>45.064649349784347</v>
      </c>
      <c r="T823" s="1">
        <v>45.423023136996107</v>
      </c>
      <c r="U823" s="14">
        <v>0.35837378721176094</v>
      </c>
    </row>
    <row r="824" spans="17:21" x14ac:dyDescent="0.2">
      <c r="Q824" s="23">
        <v>823</v>
      </c>
      <c r="R824" s="9">
        <v>78.342714201315275</v>
      </c>
      <c r="S824" s="1">
        <v>0</v>
      </c>
      <c r="T824" s="1">
        <v>-1.6212326854706056</v>
      </c>
      <c r="U824" s="14">
        <v>-1.6212326854706056</v>
      </c>
    </row>
    <row r="825" spans="17:21" x14ac:dyDescent="0.2">
      <c r="Q825" s="23">
        <v>824</v>
      </c>
      <c r="R825" s="9">
        <v>95.934320884813175</v>
      </c>
      <c r="S825" s="1">
        <v>0</v>
      </c>
      <c r="T825" s="1">
        <v>0.51969315132559757</v>
      </c>
      <c r="U825" s="14">
        <v>0.51969315132559757</v>
      </c>
    </row>
    <row r="826" spans="17:21" x14ac:dyDescent="0.2">
      <c r="Q826" s="23">
        <v>825</v>
      </c>
      <c r="R826" s="9">
        <v>149.0835769130762</v>
      </c>
      <c r="S826" s="1">
        <v>49.083580913076119</v>
      </c>
      <c r="T826" s="1">
        <v>50.652417454875035</v>
      </c>
      <c r="U826" s="14">
        <v>1.5688365417989161</v>
      </c>
    </row>
    <row r="827" spans="17:21" x14ac:dyDescent="0.2">
      <c r="Q827" s="23">
        <v>826</v>
      </c>
      <c r="R827" s="9">
        <v>77.853089262975487</v>
      </c>
      <c r="S827" s="1">
        <v>0</v>
      </c>
      <c r="T827" s="1">
        <v>-0.5182821826376709</v>
      </c>
      <c r="U827" s="14">
        <v>-0.5182821826376709</v>
      </c>
    </row>
    <row r="828" spans="17:21" x14ac:dyDescent="0.2">
      <c r="Q828" s="23">
        <v>827</v>
      </c>
      <c r="R828" s="9">
        <v>81.271182778501583</v>
      </c>
      <c r="S828" s="1">
        <v>0</v>
      </c>
      <c r="T828" s="1">
        <v>-0.80346477010159334</v>
      </c>
      <c r="U828" s="14">
        <v>-0.80346477010159334</v>
      </c>
    </row>
    <row r="829" spans="17:21" x14ac:dyDescent="0.2">
      <c r="Q829" s="23">
        <v>828</v>
      </c>
      <c r="R829" s="9">
        <v>151.0874062644935</v>
      </c>
      <c r="S829" s="1">
        <v>51.087410264493414</v>
      </c>
      <c r="T829" s="1">
        <v>49.380578782469883</v>
      </c>
      <c r="U829" s="14">
        <v>-1.7068314820235315</v>
      </c>
    </row>
    <row r="830" spans="17:21" x14ac:dyDescent="0.2">
      <c r="Q830" s="23">
        <v>829</v>
      </c>
      <c r="R830" s="9">
        <v>124.93126167049446</v>
      </c>
      <c r="S830" s="1">
        <v>24.931265670494383</v>
      </c>
      <c r="T830" s="1">
        <v>24.126296547208227</v>
      </c>
      <c r="U830" s="14">
        <v>-0.80496912328615622</v>
      </c>
    </row>
    <row r="831" spans="17:21" x14ac:dyDescent="0.2">
      <c r="Q831" s="23">
        <v>830</v>
      </c>
      <c r="R831" s="9">
        <v>89.42003675036284</v>
      </c>
      <c r="S831" s="1">
        <v>0</v>
      </c>
      <c r="T831" s="1">
        <v>0.73855489117584971</v>
      </c>
      <c r="U831" s="14">
        <v>0.73855489117584971</v>
      </c>
    </row>
    <row r="832" spans="17:21" x14ac:dyDescent="0.2">
      <c r="Q832" s="23">
        <v>831</v>
      </c>
      <c r="R832" s="9">
        <v>87.269238121829147</v>
      </c>
      <c r="S832" s="1">
        <v>0</v>
      </c>
      <c r="T832" s="1">
        <v>1.3446367287163867</v>
      </c>
      <c r="U832" s="14">
        <v>1.3446367287163867</v>
      </c>
    </row>
    <row r="833" spans="17:21" x14ac:dyDescent="0.2">
      <c r="Q833" s="23">
        <v>832</v>
      </c>
      <c r="R833" s="9">
        <v>118.07623995338801</v>
      </c>
      <c r="S833" s="1">
        <v>18.07624395338793</v>
      </c>
      <c r="T833" s="1">
        <v>17.933008886547327</v>
      </c>
      <c r="U833" s="14">
        <v>-0.14323506684060305</v>
      </c>
    </row>
    <row r="834" spans="17:21" x14ac:dyDescent="0.2">
      <c r="Q834" s="23">
        <v>833</v>
      </c>
      <c r="R834" s="9">
        <v>120.28001681668961</v>
      </c>
      <c r="S834" s="1">
        <v>20.280020816689529</v>
      </c>
      <c r="T834" s="1">
        <v>18.886291493571619</v>
      </c>
      <c r="U834" s="14">
        <v>-1.3937293231179098</v>
      </c>
    </row>
    <row r="835" spans="17:21" x14ac:dyDescent="0.2">
      <c r="Q835" s="23">
        <v>834</v>
      </c>
      <c r="R835" s="9">
        <v>79.34962377778821</v>
      </c>
      <c r="S835" s="1">
        <v>0</v>
      </c>
      <c r="T835" s="1">
        <v>0.51892445071410453</v>
      </c>
      <c r="U835" s="14">
        <v>0.51892445071410453</v>
      </c>
    </row>
    <row r="836" spans="17:21" x14ac:dyDescent="0.2">
      <c r="Q836" s="23">
        <v>835</v>
      </c>
      <c r="R836" s="9">
        <v>98.862826506157404</v>
      </c>
      <c r="S836" s="1">
        <v>0</v>
      </c>
      <c r="T836" s="1">
        <v>2.6798305346745224</v>
      </c>
      <c r="U836" s="14">
        <v>2.6798305346745224</v>
      </c>
    </row>
    <row r="837" spans="17:21" x14ac:dyDescent="0.2">
      <c r="Q837" s="23">
        <v>836</v>
      </c>
      <c r="R837" s="9">
        <v>107.05806766626182</v>
      </c>
      <c r="S837" s="1">
        <v>7.0580716662617391</v>
      </c>
      <c r="T837" s="1">
        <v>8.5362220233535311</v>
      </c>
      <c r="U837" s="14">
        <v>1.478150357091792</v>
      </c>
    </row>
    <row r="838" spans="17:21" x14ac:dyDescent="0.2">
      <c r="Q838" s="23">
        <v>837</v>
      </c>
      <c r="R838" s="9">
        <v>78.074803522063746</v>
      </c>
      <c r="S838" s="1">
        <v>0</v>
      </c>
      <c r="T838" s="1">
        <v>-3.1431811149421081</v>
      </c>
      <c r="U838" s="14">
        <v>-3.1431811149421081</v>
      </c>
    </row>
    <row r="839" spans="17:21" x14ac:dyDescent="0.2">
      <c r="Q839" s="23">
        <v>838</v>
      </c>
      <c r="R839" s="9">
        <v>99.464200414221025</v>
      </c>
      <c r="S839" s="1">
        <v>2.2733429199933702E-162</v>
      </c>
      <c r="T839" s="1">
        <v>2.520426652025904</v>
      </c>
      <c r="U839" s="14">
        <v>2.520426652025904</v>
      </c>
    </row>
    <row r="840" spans="17:21" x14ac:dyDescent="0.2">
      <c r="Q840" s="23">
        <v>839</v>
      </c>
      <c r="R840" s="9">
        <v>120.13082100824663</v>
      </c>
      <c r="S840" s="1">
        <v>20.130825008246546</v>
      </c>
      <c r="T840" s="1">
        <v>19.790191755426832</v>
      </c>
      <c r="U840" s="14">
        <v>-0.34063325281971402</v>
      </c>
    </row>
    <row r="841" spans="17:21" x14ac:dyDescent="0.2">
      <c r="Q841" s="23">
        <v>840</v>
      </c>
      <c r="R841" s="9">
        <v>94.593624640478936</v>
      </c>
      <c r="S841" s="1">
        <v>0</v>
      </c>
      <c r="T841" s="1">
        <v>1.0049968125665343</v>
      </c>
      <c r="U841" s="14">
        <v>1.0049968125665343</v>
      </c>
    </row>
    <row r="842" spans="17:21" x14ac:dyDescent="0.2">
      <c r="Q842" s="23">
        <v>841</v>
      </c>
      <c r="R842" s="9">
        <v>108.32146394507059</v>
      </c>
      <c r="S842" s="1">
        <v>8.3214679450705091</v>
      </c>
      <c r="T842" s="1">
        <v>10.19852380016907</v>
      </c>
      <c r="U842" s="14">
        <v>1.8770558550985612</v>
      </c>
    </row>
    <row r="843" spans="17:21" x14ac:dyDescent="0.2">
      <c r="Q843" s="23">
        <v>842</v>
      </c>
      <c r="R843" s="9">
        <v>118.60632408656838</v>
      </c>
      <c r="S843" s="1">
        <v>18.606328086568297</v>
      </c>
      <c r="T843" s="1">
        <v>17.074306477787303</v>
      </c>
      <c r="U843" s="14">
        <v>-1.5320216087809939</v>
      </c>
    </row>
    <row r="844" spans="17:21" x14ac:dyDescent="0.2">
      <c r="Q844" s="23">
        <v>843</v>
      </c>
      <c r="R844" s="9">
        <v>91.275632389001643</v>
      </c>
      <c r="S844" s="1">
        <v>0</v>
      </c>
      <c r="T844" s="1">
        <v>1.3490414930854906</v>
      </c>
      <c r="U844" s="14">
        <v>1.3490414930854906</v>
      </c>
    </row>
    <row r="845" spans="17:21" x14ac:dyDescent="0.2">
      <c r="Q845" s="23">
        <v>844</v>
      </c>
      <c r="R845" s="9">
        <v>93.993039950015628</v>
      </c>
      <c r="S845" s="1">
        <v>0</v>
      </c>
      <c r="T845" s="1">
        <v>0.63306220646359534</v>
      </c>
      <c r="U845" s="14">
        <v>0.63306220646359534</v>
      </c>
    </row>
    <row r="846" spans="17:21" x14ac:dyDescent="0.2">
      <c r="Q846" s="23">
        <v>845</v>
      </c>
      <c r="R846" s="9">
        <v>93.952145884164636</v>
      </c>
      <c r="S846" s="1">
        <v>0</v>
      </c>
      <c r="T846" s="1">
        <v>7.1136626656947755E-2</v>
      </c>
      <c r="U846" s="14">
        <v>7.1136626656947755E-2</v>
      </c>
    </row>
    <row r="847" spans="17:21" x14ac:dyDescent="0.2">
      <c r="Q847" s="23">
        <v>846</v>
      </c>
      <c r="R847" s="9">
        <v>87.998543324807969</v>
      </c>
      <c r="S847" s="1">
        <v>0</v>
      </c>
      <c r="T847" s="1">
        <v>0.96404998659646701</v>
      </c>
      <c r="U847" s="14">
        <v>0.96404998659646701</v>
      </c>
    </row>
    <row r="848" spans="17:21" x14ac:dyDescent="0.2">
      <c r="Q848" s="23">
        <v>847</v>
      </c>
      <c r="R848" s="9">
        <v>132.7121884526039</v>
      </c>
      <c r="S848" s="1">
        <v>32.712192452603816</v>
      </c>
      <c r="T848" s="1">
        <v>32.57071118351503</v>
      </c>
      <c r="U848" s="14">
        <v>-0.14148126908878567</v>
      </c>
    </row>
    <row r="849" spans="17:21" x14ac:dyDescent="0.2">
      <c r="Q849" s="23">
        <v>848</v>
      </c>
      <c r="R849" s="9">
        <v>102.75827044910152</v>
      </c>
      <c r="S849" s="1">
        <v>2.7582744491014353</v>
      </c>
      <c r="T849" s="1">
        <v>3.4614284437095506</v>
      </c>
      <c r="U849" s="14">
        <v>0.70315399460811534</v>
      </c>
    </row>
    <row r="850" spans="17:21" x14ac:dyDescent="0.2">
      <c r="Q850" s="23">
        <v>849</v>
      </c>
      <c r="R850" s="9">
        <v>95.592330292749253</v>
      </c>
      <c r="S850" s="1">
        <v>0</v>
      </c>
      <c r="T850" s="1">
        <v>1.394691035858667</v>
      </c>
      <c r="U850" s="14">
        <v>1.394691035858667</v>
      </c>
    </row>
    <row r="851" spans="17:21" x14ac:dyDescent="0.2">
      <c r="Q851" s="23">
        <v>850</v>
      </c>
      <c r="R851" s="9">
        <v>134.06229449566936</v>
      </c>
      <c r="S851" s="1">
        <v>34.062298495669282</v>
      </c>
      <c r="T851" s="1">
        <v>32.828190992917911</v>
      </c>
      <c r="U851" s="14">
        <v>-1.234107502751371</v>
      </c>
    </row>
    <row r="852" spans="17:21" x14ac:dyDescent="0.2">
      <c r="Q852" s="23">
        <v>851</v>
      </c>
      <c r="R852" s="9">
        <v>87.054221535265697</v>
      </c>
      <c r="S852" s="1">
        <v>0</v>
      </c>
      <c r="T852" s="1">
        <v>-1.5589398622519839</v>
      </c>
      <c r="U852" s="14">
        <v>-1.5589398622519839</v>
      </c>
    </row>
    <row r="853" spans="17:21" x14ac:dyDescent="0.2">
      <c r="Q853" s="23">
        <v>852</v>
      </c>
      <c r="R853" s="9">
        <v>91.549890688299485</v>
      </c>
      <c r="S853" s="1">
        <v>0</v>
      </c>
      <c r="T853" s="1">
        <v>-1.1632563780377507</v>
      </c>
      <c r="U853" s="14">
        <v>-1.1632563780377507</v>
      </c>
    </row>
    <row r="854" spans="17:21" x14ac:dyDescent="0.2">
      <c r="Q854" s="23">
        <v>853</v>
      </c>
      <c r="R854" s="9">
        <v>80.001407806114941</v>
      </c>
      <c r="S854" s="1">
        <v>0</v>
      </c>
      <c r="T854" s="1">
        <v>0.74852641220127702</v>
      </c>
      <c r="U854" s="14">
        <v>0.74852641220127702</v>
      </c>
    </row>
    <row r="855" spans="17:21" x14ac:dyDescent="0.2">
      <c r="Q855" s="23">
        <v>854</v>
      </c>
      <c r="R855" s="9">
        <v>88.565980573178848</v>
      </c>
      <c r="S855" s="1">
        <v>0</v>
      </c>
      <c r="T855" s="1">
        <v>-2.6831623956187904</v>
      </c>
      <c r="U855" s="14">
        <v>-2.6831623956187904</v>
      </c>
    </row>
    <row r="856" spans="17:21" x14ac:dyDescent="0.2">
      <c r="Q856" s="23">
        <v>855</v>
      </c>
      <c r="R856" s="9">
        <v>102.33472493923001</v>
      </c>
      <c r="S856" s="1">
        <v>2.3347289392299331</v>
      </c>
      <c r="T856" s="1">
        <v>3.0639415627057076</v>
      </c>
      <c r="U856" s="14">
        <v>0.72921262347577454</v>
      </c>
    </row>
    <row r="857" spans="17:21" x14ac:dyDescent="0.2">
      <c r="Q857" s="23">
        <v>856</v>
      </c>
      <c r="R857" s="9">
        <v>81.265059353907077</v>
      </c>
      <c r="S857" s="1">
        <v>0</v>
      </c>
      <c r="T857" s="1">
        <v>-1.4900919295496404</v>
      </c>
      <c r="U857" s="14">
        <v>-1.4900919295496404</v>
      </c>
    </row>
    <row r="858" spans="17:21" x14ac:dyDescent="0.2">
      <c r="Q858" s="23">
        <v>857</v>
      </c>
      <c r="R858" s="9">
        <v>106.16905477353126</v>
      </c>
      <c r="S858" s="1">
        <v>6.1690587735311766</v>
      </c>
      <c r="T858" s="1">
        <v>5.5411212829455252</v>
      </c>
      <c r="U858" s="14">
        <v>-0.6279374905856514</v>
      </c>
    </row>
    <row r="859" spans="17:21" x14ac:dyDescent="0.2">
      <c r="Q859" s="23">
        <v>858</v>
      </c>
      <c r="R859" s="9">
        <v>93.593233225380729</v>
      </c>
      <c r="S859" s="1">
        <v>0</v>
      </c>
      <c r="T859" s="1">
        <v>0.41393073442893291</v>
      </c>
      <c r="U859" s="14">
        <v>0.41393073442893291</v>
      </c>
    </row>
    <row r="860" spans="17:21" x14ac:dyDescent="0.2">
      <c r="Q860" s="23">
        <v>859</v>
      </c>
      <c r="R860" s="9">
        <v>97.859919087988104</v>
      </c>
      <c r="S860" s="1">
        <v>0</v>
      </c>
      <c r="T860" s="1">
        <v>1.5807804768732936</v>
      </c>
      <c r="U860" s="14">
        <v>1.5807804768732936</v>
      </c>
    </row>
    <row r="861" spans="17:21" x14ac:dyDescent="0.2">
      <c r="Q861" s="23">
        <v>860</v>
      </c>
      <c r="R861" s="9">
        <v>106.13938086912505</v>
      </c>
      <c r="S861" s="1">
        <v>6.1393848691249673</v>
      </c>
      <c r="T861" s="1">
        <v>9.0542279317457854</v>
      </c>
      <c r="U861" s="14">
        <v>2.9148430626208182</v>
      </c>
    </row>
    <row r="862" spans="17:21" x14ac:dyDescent="0.2">
      <c r="Q862" s="23">
        <v>861</v>
      </c>
      <c r="R862" s="9">
        <v>135.4575383547334</v>
      </c>
      <c r="S862" s="1">
        <v>35.45754235473332</v>
      </c>
      <c r="T862" s="1">
        <v>34.672450267823223</v>
      </c>
      <c r="U862" s="14">
        <v>-0.78509208691009746</v>
      </c>
    </row>
    <row r="863" spans="17:21" x14ac:dyDescent="0.2">
      <c r="Q863" s="23">
        <v>862</v>
      </c>
      <c r="R863" s="9">
        <v>119.19881469942037</v>
      </c>
      <c r="S863" s="1">
        <v>19.198818699420286</v>
      </c>
      <c r="T863" s="1">
        <v>16.954476689959648</v>
      </c>
      <c r="U863" s="14">
        <v>-2.2443420094606381</v>
      </c>
    </row>
    <row r="864" spans="17:21" x14ac:dyDescent="0.2">
      <c r="Q864" s="23">
        <v>863</v>
      </c>
      <c r="R864" s="9">
        <v>110.34869670016822</v>
      </c>
      <c r="S864" s="1">
        <v>10.348700700168138</v>
      </c>
      <c r="T864" s="1">
        <v>10.362710103541303</v>
      </c>
      <c r="U864" s="14">
        <v>1.4009403373165696E-2</v>
      </c>
    </row>
    <row r="865" spans="17:21" x14ac:dyDescent="0.2">
      <c r="Q865" s="23">
        <v>864</v>
      </c>
      <c r="R865" s="9">
        <v>113.40253382323233</v>
      </c>
      <c r="S865" s="1">
        <v>13.402537823232251</v>
      </c>
      <c r="T865" s="1">
        <v>12.842591642130486</v>
      </c>
      <c r="U865" s="14">
        <v>-0.55994618110176475</v>
      </c>
    </row>
    <row r="866" spans="17:21" x14ac:dyDescent="0.2">
      <c r="Q866" s="23">
        <v>865</v>
      </c>
      <c r="R866" s="9">
        <v>99.63569105441762</v>
      </c>
      <c r="S866" s="1">
        <v>1.156218583412815E-77</v>
      </c>
      <c r="T866" s="1">
        <v>-0.43273488908036484</v>
      </c>
      <c r="U866" s="14">
        <v>-0.43273488908036484</v>
      </c>
    </row>
    <row r="867" spans="17:21" x14ac:dyDescent="0.2">
      <c r="Q867" s="23">
        <v>866</v>
      </c>
      <c r="R867" s="9">
        <v>97.582809764493774</v>
      </c>
      <c r="S867" s="1">
        <v>0</v>
      </c>
      <c r="T867" s="1">
        <v>2.9609281288902984</v>
      </c>
      <c r="U867" s="14">
        <v>2.9609281288902984</v>
      </c>
    </row>
    <row r="868" spans="17:21" x14ac:dyDescent="0.2">
      <c r="Q868" s="23">
        <v>867</v>
      </c>
      <c r="R868" s="9">
        <v>103.39911496873917</v>
      </c>
      <c r="S868" s="1">
        <v>3.3991189687390886</v>
      </c>
      <c r="T868" s="1">
        <v>4.9783326034127668</v>
      </c>
      <c r="U868" s="14">
        <v>1.5792136346736783</v>
      </c>
    </row>
    <row r="869" spans="17:21" x14ac:dyDescent="0.2">
      <c r="Q869" s="23">
        <v>868</v>
      </c>
      <c r="R869" s="9">
        <v>103.69348153380004</v>
      </c>
      <c r="S869" s="1">
        <v>3.6934855337999579</v>
      </c>
      <c r="T869" s="1">
        <v>1.8595857132161484</v>
      </c>
      <c r="U869" s="14">
        <v>-1.8338998205838095</v>
      </c>
    </row>
    <row r="870" spans="17:21" x14ac:dyDescent="0.2">
      <c r="Q870" s="23">
        <v>869</v>
      </c>
      <c r="R870" s="9">
        <v>86.222418393419446</v>
      </c>
      <c r="S870" s="1">
        <v>0</v>
      </c>
      <c r="T870" s="1">
        <v>-0.28445317676249154</v>
      </c>
      <c r="U870" s="14">
        <v>-0.28445317676249154</v>
      </c>
    </row>
    <row r="871" spans="17:21" x14ac:dyDescent="0.2">
      <c r="Q871" s="23">
        <v>870</v>
      </c>
      <c r="R871" s="9">
        <v>97.122359025324855</v>
      </c>
      <c r="S871" s="1">
        <v>0</v>
      </c>
      <c r="T871" s="1">
        <v>1.7043923012795688</v>
      </c>
      <c r="U871" s="14">
        <v>1.7043923012795688</v>
      </c>
    </row>
    <row r="872" spans="17:21" x14ac:dyDescent="0.2">
      <c r="Q872" s="23">
        <v>871</v>
      </c>
      <c r="R872" s="9">
        <v>121.0271286149767</v>
      </c>
      <c r="S872" s="1">
        <v>21.027132614976622</v>
      </c>
      <c r="T872" s="1">
        <v>19.990865401754419</v>
      </c>
      <c r="U872" s="14">
        <v>-1.0362672132222031</v>
      </c>
    </row>
    <row r="873" spans="17:21" x14ac:dyDescent="0.2">
      <c r="Q873" s="23">
        <v>872</v>
      </c>
      <c r="R873" s="9">
        <v>133.54917235830612</v>
      </c>
      <c r="S873" s="1">
        <v>33.549176358306042</v>
      </c>
      <c r="T873" s="1">
        <v>33.35354815620785</v>
      </c>
      <c r="U873" s="14">
        <v>-0.19562820209819165</v>
      </c>
    </row>
    <row r="874" spans="17:21" x14ac:dyDescent="0.2">
      <c r="Q874" s="23">
        <v>873</v>
      </c>
      <c r="R874" s="9">
        <v>76.100476705743404</v>
      </c>
      <c r="S874" s="1">
        <v>0</v>
      </c>
      <c r="T874" s="1">
        <v>-0.69546354304359548</v>
      </c>
      <c r="U874" s="14">
        <v>-0.69546354304359548</v>
      </c>
    </row>
    <row r="875" spans="17:21" x14ac:dyDescent="0.2">
      <c r="Q875" s="23">
        <v>874</v>
      </c>
      <c r="R875" s="9">
        <v>129.12158943918311</v>
      </c>
      <c r="S875" s="1">
        <v>29.12159343918303</v>
      </c>
      <c r="T875" s="1">
        <v>29.156408180244085</v>
      </c>
      <c r="U875" s="14">
        <v>3.4814741061055088E-2</v>
      </c>
    </row>
    <row r="876" spans="17:21" x14ac:dyDescent="0.2">
      <c r="Q876" s="23">
        <v>875</v>
      </c>
      <c r="R876" s="9">
        <v>124.84185058689171</v>
      </c>
      <c r="S876" s="1">
        <v>24.841854586891628</v>
      </c>
      <c r="T876" s="1">
        <v>23.370264433081005</v>
      </c>
      <c r="U876" s="14">
        <v>-1.4715901538106237</v>
      </c>
    </row>
    <row r="877" spans="17:21" x14ac:dyDescent="0.2">
      <c r="Q877" s="23">
        <v>876</v>
      </c>
      <c r="R877" s="9">
        <v>104.61624761924554</v>
      </c>
      <c r="S877" s="1">
        <v>4.6162516192454603</v>
      </c>
      <c r="T877" s="1">
        <v>5.2024735119248078</v>
      </c>
      <c r="U877" s="14">
        <v>0.58622189267934743</v>
      </c>
    </row>
    <row r="878" spans="17:21" x14ac:dyDescent="0.2">
      <c r="Q878" s="23">
        <v>877</v>
      </c>
      <c r="R878" s="9">
        <v>96.55436465503459</v>
      </c>
      <c r="S878" s="1">
        <v>0</v>
      </c>
      <c r="T878" s="1">
        <v>-1.6136374452132003</v>
      </c>
      <c r="U878" s="14">
        <v>-1.6136374452132003</v>
      </c>
    </row>
    <row r="879" spans="17:21" x14ac:dyDescent="0.2">
      <c r="Q879" s="23">
        <v>878</v>
      </c>
      <c r="R879" s="9">
        <v>70.958106906525757</v>
      </c>
      <c r="S879" s="1">
        <v>0</v>
      </c>
      <c r="T879" s="1">
        <v>-1.5411540745251129</v>
      </c>
      <c r="U879" s="14">
        <v>-1.5411540745251129</v>
      </c>
    </row>
    <row r="880" spans="17:21" x14ac:dyDescent="0.2">
      <c r="Q880" s="23">
        <v>879</v>
      </c>
      <c r="R880" s="9">
        <v>103.17761581580531</v>
      </c>
      <c r="S880" s="1">
        <v>3.1776198158052296</v>
      </c>
      <c r="T880" s="1">
        <v>3.2135565319771757</v>
      </c>
      <c r="U880" s="14">
        <v>3.5936716171946159E-2</v>
      </c>
    </row>
    <row r="881" spans="17:21" x14ac:dyDescent="0.2">
      <c r="Q881" s="23">
        <v>880</v>
      </c>
      <c r="R881" s="9">
        <v>68.581044983693374</v>
      </c>
      <c r="S881" s="1">
        <v>0</v>
      </c>
      <c r="T881" s="1">
        <v>-0.6793436211667172</v>
      </c>
      <c r="U881" s="14">
        <v>-0.6793436211667172</v>
      </c>
    </row>
    <row r="882" spans="17:21" x14ac:dyDescent="0.2">
      <c r="Q882" s="23">
        <v>881</v>
      </c>
      <c r="R882" s="9">
        <v>97.817695287802181</v>
      </c>
      <c r="S882" s="1">
        <v>0</v>
      </c>
      <c r="T882" s="1">
        <v>1.5624207908867014</v>
      </c>
      <c r="U882" s="14">
        <v>1.5624207908867014</v>
      </c>
    </row>
    <row r="883" spans="17:21" x14ac:dyDescent="0.2">
      <c r="Q883" s="23">
        <v>882</v>
      </c>
      <c r="R883" s="9">
        <v>91.10341310845368</v>
      </c>
      <c r="S883" s="1">
        <v>0</v>
      </c>
      <c r="T883" s="1">
        <v>-1.3681333165541427</v>
      </c>
      <c r="U883" s="14">
        <v>-1.3681333165541427</v>
      </c>
    </row>
    <row r="884" spans="17:21" x14ac:dyDescent="0.2">
      <c r="Q884" s="23">
        <v>883</v>
      </c>
      <c r="R884" s="9">
        <v>78.797636555413334</v>
      </c>
      <c r="S884" s="1">
        <v>0</v>
      </c>
      <c r="T884" s="1">
        <v>0.21709003995242276</v>
      </c>
      <c r="U884" s="14">
        <v>0.21709003995242276</v>
      </c>
    </row>
    <row r="885" spans="17:21" x14ac:dyDescent="0.2">
      <c r="Q885" s="23">
        <v>884</v>
      </c>
      <c r="R885" s="9">
        <v>110.64313580626617</v>
      </c>
      <c r="S885" s="1">
        <v>10.643139806266092</v>
      </c>
      <c r="T885" s="1">
        <v>11.1135713009661</v>
      </c>
      <c r="U885" s="14">
        <v>0.47043149470000856</v>
      </c>
    </row>
    <row r="886" spans="17:21" x14ac:dyDescent="0.2">
      <c r="Q886" s="23">
        <v>885</v>
      </c>
      <c r="R886" s="9">
        <v>106.58172885897602</v>
      </c>
      <c r="S886" s="1">
        <v>6.5817328589759398</v>
      </c>
      <c r="T886" s="1">
        <v>10.115279267140579</v>
      </c>
      <c r="U886" s="14">
        <v>3.5335464081646393</v>
      </c>
    </row>
    <row r="887" spans="17:21" x14ac:dyDescent="0.2">
      <c r="Q887" s="23">
        <v>886</v>
      </c>
      <c r="R887" s="9">
        <v>136.07619234749555</v>
      </c>
      <c r="S887" s="1">
        <v>36.076196347495468</v>
      </c>
      <c r="T887" s="1">
        <v>36.515140980578934</v>
      </c>
      <c r="U887" s="14">
        <v>0.43894463308346587</v>
      </c>
    </row>
    <row r="888" spans="17:21" x14ac:dyDescent="0.2">
      <c r="Q888" s="23">
        <v>887</v>
      </c>
      <c r="R888" s="9">
        <v>110.93901050008978</v>
      </c>
      <c r="S888" s="1">
        <v>10.939014500089698</v>
      </c>
      <c r="T888" s="1">
        <v>11.493120158762963</v>
      </c>
      <c r="U888" s="14">
        <v>0.55410565867326511</v>
      </c>
    </row>
    <row r="889" spans="17:21" x14ac:dyDescent="0.2">
      <c r="Q889" s="23">
        <v>888</v>
      </c>
      <c r="R889" s="9">
        <v>88.060603841224236</v>
      </c>
      <c r="S889" s="1">
        <v>0</v>
      </c>
      <c r="T889" s="1">
        <v>0.60335771993125964</v>
      </c>
      <c r="U889" s="14">
        <v>0.60335771993125964</v>
      </c>
    </row>
    <row r="890" spans="17:21" x14ac:dyDescent="0.2">
      <c r="Q890" s="23">
        <v>889</v>
      </c>
      <c r="R890" s="9">
        <v>113.49080140272912</v>
      </c>
      <c r="S890" s="1">
        <v>13.490805402729038</v>
      </c>
      <c r="T890" s="1">
        <v>14.237548138910256</v>
      </c>
      <c r="U890" s="14">
        <v>0.74674273618121845</v>
      </c>
    </row>
    <row r="891" spans="17:21" x14ac:dyDescent="0.2">
      <c r="Q891" s="23">
        <v>890</v>
      </c>
      <c r="R891" s="9">
        <v>67.631530518517152</v>
      </c>
      <c r="S891" s="1">
        <v>0</v>
      </c>
      <c r="T891" s="1">
        <v>-0.46967016695884212</v>
      </c>
      <c r="U891" s="14">
        <v>-0.46967016695884212</v>
      </c>
    </row>
    <row r="892" spans="17:21" x14ac:dyDescent="0.2">
      <c r="Q892" s="23">
        <v>891</v>
      </c>
      <c r="R892" s="9">
        <v>117.64436152417423</v>
      </c>
      <c r="S892" s="1">
        <v>17.644365524174148</v>
      </c>
      <c r="T892" s="1">
        <v>18.36523278063224</v>
      </c>
      <c r="U892" s="14">
        <v>0.72086725645809224</v>
      </c>
    </row>
    <row r="893" spans="17:21" x14ac:dyDescent="0.2">
      <c r="Q893" s="23">
        <v>892</v>
      </c>
      <c r="R893" s="9">
        <v>130.76735088033502</v>
      </c>
      <c r="S893" s="1">
        <v>30.767354880334935</v>
      </c>
      <c r="T893" s="1">
        <v>29.531023479861389</v>
      </c>
      <c r="U893" s="14">
        <v>-1.2363314004735457</v>
      </c>
    </row>
    <row r="894" spans="17:21" x14ac:dyDescent="0.2">
      <c r="Q894" s="23">
        <v>893</v>
      </c>
      <c r="R894" s="9">
        <v>93.718094342552519</v>
      </c>
      <c r="S894" s="1">
        <v>0</v>
      </c>
      <c r="T894" s="1">
        <v>2.5039928389162078</v>
      </c>
      <c r="U894" s="14">
        <v>2.5039928389162078</v>
      </c>
    </row>
    <row r="895" spans="17:21" x14ac:dyDescent="0.2">
      <c r="Q895" s="23">
        <v>894</v>
      </c>
      <c r="R895" s="9">
        <v>136.29169419722658</v>
      </c>
      <c r="S895" s="1">
        <v>36.291698197226495</v>
      </c>
      <c r="T895" s="1">
        <v>36.532234575312046</v>
      </c>
      <c r="U895" s="14">
        <v>0.24053637808555095</v>
      </c>
    </row>
    <row r="896" spans="17:21" x14ac:dyDescent="0.2">
      <c r="Q896" s="23">
        <v>895</v>
      </c>
      <c r="R896" s="9">
        <v>99.261598783575693</v>
      </c>
      <c r="S896" s="1">
        <v>3.7406068848469938E-304</v>
      </c>
      <c r="T896" s="1">
        <v>4.8392417325266166</v>
      </c>
      <c r="U896" s="14">
        <v>4.8392417325266166</v>
      </c>
    </row>
    <row r="897" spans="17:21" x14ac:dyDescent="0.2">
      <c r="Q897" s="23">
        <v>896</v>
      </c>
      <c r="R897" s="9">
        <v>152.56684838802548</v>
      </c>
      <c r="S897" s="1">
        <v>52.566852388025396</v>
      </c>
      <c r="T897" s="1">
        <v>52.52372028995002</v>
      </c>
      <c r="U897" s="14">
        <v>-4.3132098075375325E-2</v>
      </c>
    </row>
    <row r="898" spans="17:21" x14ac:dyDescent="0.2">
      <c r="Q898" s="23">
        <v>897</v>
      </c>
      <c r="R898" s="9">
        <v>78.814563629876176</v>
      </c>
      <c r="S898" s="1">
        <v>0</v>
      </c>
      <c r="T898" s="1">
        <v>1.0497551601353383</v>
      </c>
      <c r="U898" s="14">
        <v>1.0497551601353383</v>
      </c>
    </row>
    <row r="899" spans="17:21" x14ac:dyDescent="0.2">
      <c r="Q899" s="23">
        <v>898</v>
      </c>
      <c r="R899" s="9">
        <v>124.44714631579589</v>
      </c>
      <c r="S899" s="1">
        <v>24.44715031579581</v>
      </c>
      <c r="T899" s="1">
        <v>24.117253265108261</v>
      </c>
      <c r="U899" s="14">
        <v>-0.32989705068754915</v>
      </c>
    </row>
    <row r="900" spans="17:21" x14ac:dyDescent="0.2">
      <c r="Q900" s="23">
        <v>899</v>
      </c>
      <c r="R900" s="9">
        <v>117.47927635478641</v>
      </c>
      <c r="S900" s="1">
        <v>17.479280354786326</v>
      </c>
      <c r="T900" s="1">
        <v>16.473234065243489</v>
      </c>
      <c r="U900" s="14">
        <v>-1.0060462895428373</v>
      </c>
    </row>
    <row r="901" spans="17:21" x14ac:dyDescent="0.2">
      <c r="Q901" s="23">
        <v>900</v>
      </c>
      <c r="R901" s="9">
        <v>107.12380554013906</v>
      </c>
      <c r="S901" s="1">
        <v>7.1238095401389785</v>
      </c>
      <c r="T901" s="1">
        <v>8.1253191904840776</v>
      </c>
      <c r="U901" s="14">
        <v>1.0015096503450991</v>
      </c>
    </row>
    <row r="902" spans="17:21" x14ac:dyDescent="0.2">
      <c r="Q902" s="23">
        <v>901</v>
      </c>
      <c r="R902" s="9">
        <v>114.25444048631901</v>
      </c>
      <c r="S902" s="1">
        <v>14.254444486318931</v>
      </c>
      <c r="T902" s="1">
        <v>12.728509953162373</v>
      </c>
      <c r="U902" s="14">
        <v>-1.5259345331565584</v>
      </c>
    </row>
    <row r="903" spans="17:21" x14ac:dyDescent="0.2">
      <c r="Q903" s="23">
        <v>902</v>
      </c>
      <c r="R903" s="9">
        <v>100.92764117420157</v>
      </c>
      <c r="S903" s="1">
        <v>0.92764517420148707</v>
      </c>
      <c r="T903" s="1">
        <v>4.0098822565234684</v>
      </c>
      <c r="U903" s="14">
        <v>3.0822370823219813</v>
      </c>
    </row>
    <row r="904" spans="17:21" x14ac:dyDescent="0.2">
      <c r="Q904" s="23">
        <v>903</v>
      </c>
      <c r="R904" s="9">
        <v>129.00748535127326</v>
      </c>
      <c r="S904" s="1">
        <v>29.007489351273179</v>
      </c>
      <c r="T904" s="1">
        <v>27.825997615408639</v>
      </c>
      <c r="U904" s="14">
        <v>-1.1814917358645403</v>
      </c>
    </row>
    <row r="905" spans="17:21" x14ac:dyDescent="0.2">
      <c r="Q905" s="23">
        <v>904</v>
      </c>
      <c r="R905" s="9">
        <v>88.602755347266253</v>
      </c>
      <c r="S905" s="1">
        <v>0</v>
      </c>
      <c r="T905" s="1">
        <v>-3.9408801272956318E-2</v>
      </c>
      <c r="U905" s="14">
        <v>-3.9408801272956318E-2</v>
      </c>
    </row>
    <row r="906" spans="17:21" x14ac:dyDescent="0.2">
      <c r="Q906" s="23">
        <v>905</v>
      </c>
      <c r="R906" s="9">
        <v>77.47125212440335</v>
      </c>
      <c r="S906" s="1">
        <v>0</v>
      </c>
      <c r="T906" s="1">
        <v>0.12725387329573487</v>
      </c>
      <c r="U906" s="14">
        <v>0.12725387329573487</v>
      </c>
    </row>
    <row r="907" spans="17:21" x14ac:dyDescent="0.2">
      <c r="Q907" s="23">
        <v>906</v>
      </c>
      <c r="R907" s="9">
        <v>118.97953366480142</v>
      </c>
      <c r="S907" s="1">
        <v>18.979537664801342</v>
      </c>
      <c r="T907" s="1">
        <v>19.791594087001059</v>
      </c>
      <c r="U907" s="14">
        <v>0.81205642219971708</v>
      </c>
    </row>
    <row r="908" spans="17:21" x14ac:dyDescent="0.2">
      <c r="Q908" s="23">
        <v>907</v>
      </c>
      <c r="R908" s="9">
        <v>119.8272909517181</v>
      </c>
      <c r="S908" s="1">
        <v>19.827294951718017</v>
      </c>
      <c r="T908" s="1">
        <v>18.005313056247886</v>
      </c>
      <c r="U908" s="14">
        <v>-1.821981895470131</v>
      </c>
    </row>
    <row r="909" spans="17:21" x14ac:dyDescent="0.2">
      <c r="Q909" s="23">
        <v>908</v>
      </c>
      <c r="R909" s="9">
        <v>143.50016045243672</v>
      </c>
      <c r="S909" s="1">
        <v>43.500164452436636</v>
      </c>
      <c r="T909" s="1">
        <v>41.602904121494419</v>
      </c>
      <c r="U909" s="14">
        <v>-1.8972603309422169</v>
      </c>
    </row>
    <row r="910" spans="17:21" x14ac:dyDescent="0.2">
      <c r="Q910" s="23">
        <v>909</v>
      </c>
      <c r="R910" s="9">
        <v>110.41127665973471</v>
      </c>
      <c r="S910" s="1">
        <v>10.411280659734629</v>
      </c>
      <c r="T910" s="1">
        <v>10.35378872368733</v>
      </c>
      <c r="U910" s="14">
        <v>-5.7491936047298964E-2</v>
      </c>
    </row>
    <row r="911" spans="17:21" x14ac:dyDescent="0.2">
      <c r="Q911" s="23">
        <v>910</v>
      </c>
      <c r="R911" s="9">
        <v>79.715822588234516</v>
      </c>
      <c r="S911" s="1">
        <v>0</v>
      </c>
      <c r="T911" s="1">
        <v>-0.26113962662053947</v>
      </c>
      <c r="U911" s="14">
        <v>-0.26113962662053947</v>
      </c>
    </row>
    <row r="912" spans="17:21" x14ac:dyDescent="0.2">
      <c r="Q912" s="23">
        <v>911</v>
      </c>
      <c r="R912" s="9">
        <v>79.712063801488725</v>
      </c>
      <c r="S912" s="1">
        <v>0</v>
      </c>
      <c r="T912" s="1">
        <v>1.913600499435002</v>
      </c>
      <c r="U912" s="14">
        <v>1.913600499435002</v>
      </c>
    </row>
    <row r="913" spans="17:21" x14ac:dyDescent="0.2">
      <c r="Q913" s="23">
        <v>912</v>
      </c>
      <c r="R913" s="9">
        <v>86.022559207188024</v>
      </c>
      <c r="S913" s="1">
        <v>0</v>
      </c>
      <c r="T913" s="1">
        <v>0.38836705655501536</v>
      </c>
      <c r="U913" s="14">
        <v>0.38836705655501536</v>
      </c>
    </row>
    <row r="914" spans="17:21" x14ac:dyDescent="0.2">
      <c r="Q914" s="23">
        <v>913</v>
      </c>
      <c r="R914" s="9">
        <v>87.586463782866815</v>
      </c>
      <c r="S914" s="1">
        <v>0</v>
      </c>
      <c r="T914" s="1">
        <v>-1.4607197676881087</v>
      </c>
      <c r="U914" s="14">
        <v>-1.4607197676881087</v>
      </c>
    </row>
    <row r="915" spans="17:21" x14ac:dyDescent="0.2">
      <c r="Q915" s="23">
        <v>914</v>
      </c>
      <c r="R915" s="9">
        <v>91.002515810948253</v>
      </c>
      <c r="S915" s="1">
        <v>0</v>
      </c>
      <c r="T915" s="1">
        <v>2.6440766148035282</v>
      </c>
      <c r="U915" s="14">
        <v>2.6440766148035282</v>
      </c>
    </row>
    <row r="916" spans="17:21" x14ac:dyDescent="0.2">
      <c r="Q916" s="23">
        <v>915</v>
      </c>
      <c r="R916" s="9">
        <v>117.56200694894557</v>
      </c>
      <c r="S916" s="1">
        <v>17.562010948945485</v>
      </c>
      <c r="T916" s="1">
        <v>17.745266291736584</v>
      </c>
      <c r="U916" s="14">
        <v>0.18325534279109945</v>
      </c>
    </row>
    <row r="917" spans="17:21" x14ac:dyDescent="0.2">
      <c r="Q917" s="23">
        <v>916</v>
      </c>
      <c r="R917" s="9">
        <v>129.77895316892045</v>
      </c>
      <c r="S917" s="1">
        <v>29.778957168920371</v>
      </c>
      <c r="T917" s="1">
        <v>29.181968851129653</v>
      </c>
      <c r="U917" s="14">
        <v>-0.59698831779071782</v>
      </c>
    </row>
    <row r="918" spans="17:21" x14ac:dyDescent="0.2">
      <c r="Q918" s="23">
        <v>917</v>
      </c>
      <c r="R918" s="9">
        <v>108.55323636273754</v>
      </c>
      <c r="S918" s="1">
        <v>8.5532403627374549</v>
      </c>
      <c r="T918" s="1">
        <v>4.6531945421960472</v>
      </c>
      <c r="U918" s="14">
        <v>-3.9000458205414077</v>
      </c>
    </row>
    <row r="919" spans="17:21" x14ac:dyDescent="0.2">
      <c r="Q919" s="23">
        <v>918</v>
      </c>
      <c r="R919" s="9">
        <v>104.49154946030973</v>
      </c>
      <c r="S919" s="1">
        <v>4.4915534603096461</v>
      </c>
      <c r="T919" s="1">
        <v>4.9363260256325674</v>
      </c>
      <c r="U919" s="14">
        <v>0.44477256532292131</v>
      </c>
    </row>
    <row r="920" spans="17:21" x14ac:dyDescent="0.2">
      <c r="Q920" s="23">
        <v>919</v>
      </c>
      <c r="R920" s="9">
        <v>127.40845792955335</v>
      </c>
      <c r="S920" s="1">
        <v>27.408461929553269</v>
      </c>
      <c r="T920" s="1">
        <v>29.014997553266127</v>
      </c>
      <c r="U920" s="14">
        <v>1.6065356237128583</v>
      </c>
    </row>
    <row r="921" spans="17:21" x14ac:dyDescent="0.2">
      <c r="Q921" s="23">
        <v>920</v>
      </c>
      <c r="R921" s="9">
        <v>110.95616871326231</v>
      </c>
      <c r="S921" s="1">
        <v>10.956172713262234</v>
      </c>
      <c r="T921" s="1">
        <v>10.690911953538574</v>
      </c>
      <c r="U921" s="14">
        <v>-0.26526075972365959</v>
      </c>
    </row>
    <row r="922" spans="17:21" x14ac:dyDescent="0.2">
      <c r="Q922" s="23">
        <v>921</v>
      </c>
      <c r="R922" s="9">
        <v>86.787000586398577</v>
      </c>
      <c r="S922" s="1">
        <v>0</v>
      </c>
      <c r="T922" s="1">
        <v>-1.091421151594556</v>
      </c>
      <c r="U922" s="14">
        <v>-1.091421151594556</v>
      </c>
    </row>
    <row r="923" spans="17:21" x14ac:dyDescent="0.2">
      <c r="Q923" s="23">
        <v>922</v>
      </c>
      <c r="R923" s="9">
        <v>86.148145928481512</v>
      </c>
      <c r="S923" s="1">
        <v>0</v>
      </c>
      <c r="T923" s="1">
        <v>-2.2418267514280146</v>
      </c>
      <c r="U923" s="14">
        <v>-2.2418267514280146</v>
      </c>
    </row>
    <row r="924" spans="17:21" x14ac:dyDescent="0.2">
      <c r="Q924" s="23">
        <v>923</v>
      </c>
      <c r="R924" s="9">
        <v>105.0422644412357</v>
      </c>
      <c r="S924" s="1">
        <v>5.0422684412356205</v>
      </c>
      <c r="T924" s="1">
        <v>4.8119350863411938</v>
      </c>
      <c r="U924" s="14">
        <v>-0.23033335489442663</v>
      </c>
    </row>
    <row r="925" spans="17:21" x14ac:dyDescent="0.2">
      <c r="Q925" s="23">
        <v>924</v>
      </c>
      <c r="R925" s="9">
        <v>74.046249585525459</v>
      </c>
      <c r="S925" s="1">
        <v>0</v>
      </c>
      <c r="T925" s="1">
        <v>-0.56957955409020522</v>
      </c>
      <c r="U925" s="14">
        <v>-0.56957955409020522</v>
      </c>
    </row>
    <row r="926" spans="17:21" x14ac:dyDescent="0.2">
      <c r="Q926" s="23">
        <v>925</v>
      </c>
      <c r="R926" s="9">
        <v>141.87654100958963</v>
      </c>
      <c r="S926" s="1">
        <v>41.876545009589549</v>
      </c>
      <c r="T926" s="1">
        <v>42.647381292080581</v>
      </c>
      <c r="U926" s="14">
        <v>0.77083628249103242</v>
      </c>
    </row>
    <row r="927" spans="17:21" x14ac:dyDescent="0.2">
      <c r="Q927" s="23">
        <v>926</v>
      </c>
      <c r="R927" s="9">
        <v>72.827898597495079</v>
      </c>
      <c r="S927" s="1">
        <v>0</v>
      </c>
      <c r="T927" s="1">
        <v>-1.2154519765629541</v>
      </c>
      <c r="U927" s="14">
        <v>-1.2154519765629541</v>
      </c>
    </row>
    <row r="928" spans="17:21" x14ac:dyDescent="0.2">
      <c r="Q928" s="23">
        <v>927</v>
      </c>
      <c r="R928" s="9">
        <v>87.362884233166326</v>
      </c>
      <c r="S928" s="1">
        <v>0</v>
      </c>
      <c r="T928" s="1">
        <v>0.26135416641867265</v>
      </c>
      <c r="U928" s="14">
        <v>0.26135416641867265</v>
      </c>
    </row>
    <row r="929" spans="17:21" x14ac:dyDescent="0.2">
      <c r="Q929" s="23">
        <v>928</v>
      </c>
      <c r="R929" s="9">
        <v>90.47487191829407</v>
      </c>
      <c r="S929" s="1">
        <v>0</v>
      </c>
      <c r="T929" s="1">
        <v>0.86751219587759687</v>
      </c>
      <c r="U929" s="14">
        <v>0.86751219587759687</v>
      </c>
    </row>
    <row r="930" spans="17:21" x14ac:dyDescent="0.2">
      <c r="Q930" s="23">
        <v>929</v>
      </c>
      <c r="R930" s="9">
        <v>92.134597026689093</v>
      </c>
      <c r="S930" s="1">
        <v>0</v>
      </c>
      <c r="T930" s="1">
        <v>-1.3984695542500345</v>
      </c>
      <c r="U930" s="14">
        <v>-1.3984695542500345</v>
      </c>
    </row>
    <row r="931" spans="17:21" x14ac:dyDescent="0.2">
      <c r="Q931" s="23">
        <v>930</v>
      </c>
      <c r="R931" s="9">
        <v>132.0604894645644</v>
      </c>
      <c r="S931" s="1">
        <v>32.060493464564317</v>
      </c>
      <c r="T931" s="1">
        <v>31.621426048070461</v>
      </c>
      <c r="U931" s="14">
        <v>-0.43906741649385594</v>
      </c>
    </row>
    <row r="932" spans="17:21" x14ac:dyDescent="0.2">
      <c r="Q932" s="23">
        <v>931</v>
      </c>
      <c r="R932" s="9">
        <v>100.38163071696229</v>
      </c>
      <c r="S932" s="1">
        <v>0.38163471696221052</v>
      </c>
      <c r="T932" s="1">
        <v>4.2791377306232619</v>
      </c>
      <c r="U932" s="14">
        <v>3.8975030136610513</v>
      </c>
    </row>
    <row r="933" spans="17:21" x14ac:dyDescent="0.2">
      <c r="Q933" s="23">
        <v>932</v>
      </c>
      <c r="R933" s="9">
        <v>142.52579568161619</v>
      </c>
      <c r="S933" s="1">
        <v>42.525799681616107</v>
      </c>
      <c r="T933" s="1">
        <v>41.339875276927827</v>
      </c>
      <c r="U933" s="14">
        <v>-1.1859244046882793</v>
      </c>
    </row>
    <row r="934" spans="17:21" x14ac:dyDescent="0.2">
      <c r="Q934" s="23">
        <v>933</v>
      </c>
      <c r="R934" s="9">
        <v>73.558531726488056</v>
      </c>
      <c r="S934" s="1">
        <v>0</v>
      </c>
      <c r="T934" s="1">
        <v>1.1094293546990879</v>
      </c>
      <c r="U934" s="14">
        <v>1.1094293546990879</v>
      </c>
    </row>
    <row r="935" spans="17:21" x14ac:dyDescent="0.2">
      <c r="Q935" s="23">
        <v>934</v>
      </c>
      <c r="R935" s="9">
        <v>88.045886040749281</v>
      </c>
      <c r="S935" s="1">
        <v>0</v>
      </c>
      <c r="T935" s="1">
        <v>1.2484219701273427</v>
      </c>
      <c r="U935" s="14">
        <v>1.2484219701273427</v>
      </c>
    </row>
    <row r="936" spans="17:21" x14ac:dyDescent="0.2">
      <c r="Q936" s="23">
        <v>935</v>
      </c>
      <c r="R936" s="9">
        <v>99.638786172339223</v>
      </c>
      <c r="S936" s="1">
        <v>1.9774592666522093E-76</v>
      </c>
      <c r="T936" s="1">
        <v>0.5790544232251591</v>
      </c>
      <c r="U936" s="14">
        <v>0.5790544232251591</v>
      </c>
    </row>
    <row r="937" spans="17:21" x14ac:dyDescent="0.2">
      <c r="Q937" s="23">
        <v>936</v>
      </c>
      <c r="R937" s="9">
        <v>106.39131225382712</v>
      </c>
      <c r="S937" s="1">
        <v>6.3913162538270427</v>
      </c>
      <c r="T937" s="1">
        <v>5.6434302154403611</v>
      </c>
      <c r="U937" s="14">
        <v>-0.74788603838668166</v>
      </c>
    </row>
    <row r="938" spans="17:21" x14ac:dyDescent="0.2">
      <c r="Q938" s="23">
        <v>937</v>
      </c>
      <c r="R938" s="9">
        <v>92.631416128953305</v>
      </c>
      <c r="S938" s="1">
        <v>0</v>
      </c>
      <c r="T938" s="1">
        <v>0.12512995761835863</v>
      </c>
      <c r="U938" s="14">
        <v>0.12512995761835863</v>
      </c>
    </row>
    <row r="939" spans="17:21" x14ac:dyDescent="0.2">
      <c r="Q939" s="23">
        <v>938</v>
      </c>
      <c r="R939" s="9">
        <v>76.37422770600358</v>
      </c>
      <c r="S939" s="1">
        <v>0</v>
      </c>
      <c r="T939" s="1">
        <v>0.8408061798636558</v>
      </c>
      <c r="U939" s="14">
        <v>0.8408061798636558</v>
      </c>
    </row>
    <row r="940" spans="17:21" x14ac:dyDescent="0.2">
      <c r="Q940" s="23">
        <v>939</v>
      </c>
      <c r="R940" s="9">
        <v>95.90687300411787</v>
      </c>
      <c r="S940" s="1">
        <v>0</v>
      </c>
      <c r="T940" s="1">
        <v>-0.27992326795152422</v>
      </c>
      <c r="U940" s="14">
        <v>-0.27992326795152422</v>
      </c>
    </row>
    <row r="941" spans="17:21" x14ac:dyDescent="0.2">
      <c r="Q941" s="23">
        <v>940</v>
      </c>
      <c r="R941" s="9">
        <v>110.82994530625419</v>
      </c>
      <c r="S941" s="1">
        <v>10.829949306254107</v>
      </c>
      <c r="T941" s="1">
        <v>11.032849755032458</v>
      </c>
      <c r="U941" s="14">
        <v>0.20290044877835101</v>
      </c>
    </row>
    <row r="942" spans="17:21" x14ac:dyDescent="0.2">
      <c r="Q942" s="23">
        <v>941</v>
      </c>
      <c r="R942" s="9">
        <v>113.82356176431979</v>
      </c>
      <c r="S942" s="1">
        <v>13.82356576431971</v>
      </c>
      <c r="T942" s="1">
        <v>13.625843417165498</v>
      </c>
      <c r="U942" s="14">
        <v>-0.19772234715421177</v>
      </c>
    </row>
    <row r="943" spans="17:21" x14ac:dyDescent="0.2">
      <c r="Q943" s="23">
        <v>942</v>
      </c>
      <c r="R943" s="9">
        <v>110.82501491007508</v>
      </c>
      <c r="S943" s="1">
        <v>10.825018910075002</v>
      </c>
      <c r="T943" s="1">
        <v>7.3881882943765476</v>
      </c>
      <c r="U943" s="14">
        <v>-3.4368306156984545</v>
      </c>
    </row>
    <row r="944" spans="17:21" x14ac:dyDescent="0.2">
      <c r="Q944" s="23">
        <v>943</v>
      </c>
      <c r="R944" s="9">
        <v>146.10061024638395</v>
      </c>
      <c r="S944" s="1">
        <v>46.10061424638387</v>
      </c>
      <c r="T944" s="1">
        <v>43.191326246527993</v>
      </c>
      <c r="U944" s="14">
        <v>-2.9092879998558772</v>
      </c>
    </row>
    <row r="945" spans="17:21" x14ac:dyDescent="0.2">
      <c r="Q945" s="23">
        <v>944</v>
      </c>
      <c r="R945" s="9">
        <v>96.429499813119364</v>
      </c>
      <c r="S945" s="1">
        <v>0</v>
      </c>
      <c r="T945" s="1">
        <v>1.7772282871158467</v>
      </c>
      <c r="U945" s="14">
        <v>1.7772282871158467</v>
      </c>
    </row>
    <row r="946" spans="17:21" x14ac:dyDescent="0.2">
      <c r="Q946" s="23">
        <v>945</v>
      </c>
      <c r="R946" s="9">
        <v>108.62329683303369</v>
      </c>
      <c r="S946" s="1">
        <v>8.6233008330336105</v>
      </c>
      <c r="T946" s="1">
        <v>11.526828521177819</v>
      </c>
      <c r="U946" s="14">
        <v>2.9035276881442087</v>
      </c>
    </row>
    <row r="947" spans="17:21" x14ac:dyDescent="0.2">
      <c r="Q947" s="23">
        <v>946</v>
      </c>
      <c r="R947" s="9">
        <v>99.590843345254868</v>
      </c>
      <c r="S947" s="1">
        <v>1.0517712573329464E-96</v>
      </c>
      <c r="T947" s="1">
        <v>2.343819639901767</v>
      </c>
      <c r="U947" s="14">
        <v>2.343819639901767</v>
      </c>
    </row>
    <row r="948" spans="17:21" x14ac:dyDescent="0.2">
      <c r="Q948" s="23">
        <v>947</v>
      </c>
      <c r="R948" s="9">
        <v>117.82662059849213</v>
      </c>
      <c r="S948" s="1">
        <v>17.826624598492046</v>
      </c>
      <c r="T948" s="1">
        <v>17.795311511620937</v>
      </c>
      <c r="U948" s="14">
        <v>-3.1313086871108453E-2</v>
      </c>
    </row>
    <row r="949" spans="17:21" x14ac:dyDescent="0.2">
      <c r="Q949" s="23">
        <v>948</v>
      </c>
      <c r="R949" s="9">
        <v>100.62388005679621</v>
      </c>
      <c r="S949" s="1">
        <v>0.62388405679612902</v>
      </c>
      <c r="T949" s="1">
        <v>2.8157344194491003</v>
      </c>
      <c r="U949" s="14">
        <v>2.1918503626529713</v>
      </c>
    </row>
    <row r="950" spans="17:21" x14ac:dyDescent="0.2">
      <c r="Q950" s="23">
        <v>949</v>
      </c>
      <c r="R950" s="9">
        <v>89.924138140142915</v>
      </c>
      <c r="S950" s="1">
        <v>0</v>
      </c>
      <c r="T950" s="1">
        <v>0.16186438607221731</v>
      </c>
      <c r="U950" s="14">
        <v>0.16186438607221731</v>
      </c>
    </row>
    <row r="951" spans="17:21" x14ac:dyDescent="0.2">
      <c r="Q951" s="23">
        <v>950</v>
      </c>
      <c r="R951" s="9">
        <v>126.60376288647862</v>
      </c>
      <c r="S951" s="1">
        <v>26.603766886478539</v>
      </c>
      <c r="T951" s="1">
        <v>26.266227833523871</v>
      </c>
      <c r="U951" s="14">
        <v>-0.3375390529546678</v>
      </c>
    </row>
    <row r="952" spans="17:21" x14ac:dyDescent="0.2">
      <c r="Q952" s="23">
        <v>951</v>
      </c>
      <c r="R952" s="9">
        <v>90.136090196320907</v>
      </c>
      <c r="S952" s="1">
        <v>0</v>
      </c>
      <c r="T952" s="1">
        <v>-2.2526634026901036</v>
      </c>
      <c r="U952" s="14">
        <v>-2.2526634026901036</v>
      </c>
    </row>
    <row r="953" spans="17:21" x14ac:dyDescent="0.2">
      <c r="Q953" s="23">
        <v>952</v>
      </c>
      <c r="R953" s="9">
        <v>74.288774494830022</v>
      </c>
      <c r="S953" s="1">
        <v>0</v>
      </c>
      <c r="T953" s="1">
        <v>0.43532662274453576</v>
      </c>
      <c r="U953" s="14">
        <v>0.43532662274453576</v>
      </c>
    </row>
    <row r="954" spans="17:21" x14ac:dyDescent="0.2">
      <c r="Q954" s="23">
        <v>953</v>
      </c>
      <c r="R954" s="9">
        <v>90.794755151936613</v>
      </c>
      <c r="S954" s="1">
        <v>0</v>
      </c>
      <c r="T954" s="1">
        <v>-3.1366074829178672</v>
      </c>
      <c r="U954" s="14">
        <v>-3.1366074829178672</v>
      </c>
    </row>
    <row r="955" spans="17:21" x14ac:dyDescent="0.2">
      <c r="Q955" s="23">
        <v>954</v>
      </c>
      <c r="R955" s="9">
        <v>106.47671573429079</v>
      </c>
      <c r="S955" s="1">
        <v>6.476719734290711</v>
      </c>
      <c r="T955" s="1">
        <v>4.5718986759312656</v>
      </c>
      <c r="U955" s="14">
        <v>-1.9048210583594454</v>
      </c>
    </row>
    <row r="956" spans="17:21" x14ac:dyDescent="0.2">
      <c r="Q956" s="23">
        <v>955</v>
      </c>
      <c r="R956" s="9">
        <v>119.43449717231219</v>
      </c>
      <c r="S956" s="1">
        <v>19.43450117231211</v>
      </c>
      <c r="T956" s="1">
        <v>20.60012779369805</v>
      </c>
      <c r="U956" s="14">
        <v>1.1656266213859396</v>
      </c>
    </row>
    <row r="957" spans="17:21" x14ac:dyDescent="0.2">
      <c r="Q957" s="23">
        <v>956</v>
      </c>
      <c r="R957" s="9">
        <v>167.28663040697359</v>
      </c>
      <c r="S957" s="1">
        <v>67.286634406973505</v>
      </c>
      <c r="T957" s="1">
        <v>65.246962321279454</v>
      </c>
      <c r="U957" s="14">
        <v>-2.0396720856940505</v>
      </c>
    </row>
    <row r="958" spans="17:21" x14ac:dyDescent="0.2">
      <c r="Q958" s="23">
        <v>957</v>
      </c>
      <c r="R958" s="9">
        <v>70.200043674962544</v>
      </c>
      <c r="S958" s="1">
        <v>0</v>
      </c>
      <c r="T958" s="1">
        <v>-1.1327642414293793</v>
      </c>
      <c r="U958" s="14">
        <v>-1.1327642414293793</v>
      </c>
    </row>
    <row r="959" spans="17:21" x14ac:dyDescent="0.2">
      <c r="Q959" s="23">
        <v>958</v>
      </c>
      <c r="R959" s="9">
        <v>93.269637861781746</v>
      </c>
      <c r="S959" s="1">
        <v>0</v>
      </c>
      <c r="T959" s="1">
        <v>1.7833707069817741</v>
      </c>
      <c r="U959" s="14">
        <v>1.7833707069817741</v>
      </c>
    </row>
    <row r="960" spans="17:21" x14ac:dyDescent="0.2">
      <c r="Q960" s="23">
        <v>959</v>
      </c>
      <c r="R960" s="9">
        <v>105.18590802036537</v>
      </c>
      <c r="S960" s="1">
        <v>5.1859120203652935</v>
      </c>
      <c r="T960" s="1">
        <v>2.0079216505165789</v>
      </c>
      <c r="U960" s="14">
        <v>-3.1779903698487146</v>
      </c>
    </row>
    <row r="961" spans="17:21" x14ac:dyDescent="0.2">
      <c r="Q961" s="23">
        <v>960</v>
      </c>
      <c r="R961" s="9">
        <v>78.573348706355745</v>
      </c>
      <c r="S961" s="1">
        <v>0</v>
      </c>
      <c r="T961" s="1">
        <v>-0.96180611566339203</v>
      </c>
      <c r="U961" s="14">
        <v>-0.96180611566339203</v>
      </c>
    </row>
    <row r="962" spans="17:21" x14ac:dyDescent="0.2">
      <c r="Q962" s="23">
        <v>961</v>
      </c>
      <c r="R962" s="9">
        <v>136.48261281683162</v>
      </c>
      <c r="S962" s="1">
        <v>36.482616816831538</v>
      </c>
      <c r="T962" s="1">
        <v>36.413876954246717</v>
      </c>
      <c r="U962" s="14">
        <v>-6.8739862584820344E-2</v>
      </c>
    </row>
    <row r="963" spans="17:21" x14ac:dyDescent="0.2">
      <c r="Q963" s="23">
        <v>962</v>
      </c>
      <c r="R963" s="9">
        <v>72.512495178228377</v>
      </c>
      <c r="S963" s="1">
        <v>0</v>
      </c>
      <c r="T963" s="1">
        <v>1.3799949904128925</v>
      </c>
      <c r="U963" s="14">
        <v>1.3799949904128925</v>
      </c>
    </row>
    <row r="964" spans="17:21" x14ac:dyDescent="0.2">
      <c r="Q964" s="23">
        <v>963</v>
      </c>
      <c r="R964" s="9">
        <v>68.501181280922239</v>
      </c>
      <c r="S964" s="1">
        <v>0</v>
      </c>
      <c r="T964" s="1">
        <v>-1.4289850320319075</v>
      </c>
      <c r="U964" s="14">
        <v>-1.4289850320319075</v>
      </c>
    </row>
    <row r="965" spans="17:21" x14ac:dyDescent="0.2">
      <c r="Q965" s="23">
        <v>964</v>
      </c>
      <c r="R965" s="9">
        <v>118.65101991921621</v>
      </c>
      <c r="S965" s="1">
        <v>18.651023919216129</v>
      </c>
      <c r="T965" s="1">
        <v>19.993484721877195</v>
      </c>
      <c r="U965" s="14">
        <v>1.3424608026610656</v>
      </c>
    </row>
    <row r="966" spans="17:21" x14ac:dyDescent="0.2">
      <c r="Q966" s="23">
        <v>965</v>
      </c>
      <c r="R966" s="9">
        <v>99.013519635388832</v>
      </c>
      <c r="S966" s="1">
        <v>0</v>
      </c>
      <c r="T966" s="1">
        <v>4.0895152080045705</v>
      </c>
      <c r="U966" s="14">
        <v>4.0895152080045705</v>
      </c>
    </row>
    <row r="967" spans="17:21" x14ac:dyDescent="0.2">
      <c r="Q967" s="23">
        <v>966</v>
      </c>
      <c r="R967" s="9">
        <v>123.9790233924594</v>
      </c>
      <c r="S967" s="1">
        <v>23.979027392459315</v>
      </c>
      <c r="T967" s="1">
        <v>23.730356890410206</v>
      </c>
      <c r="U967" s="14">
        <v>-0.24867050204910868</v>
      </c>
    </row>
    <row r="968" spans="17:21" x14ac:dyDescent="0.2">
      <c r="Q968" s="23">
        <v>967</v>
      </c>
      <c r="R968" s="9">
        <v>104.33373844201705</v>
      </c>
      <c r="S968" s="1">
        <v>4.3337424420169697</v>
      </c>
      <c r="T968" s="1">
        <v>5.1410255133787359</v>
      </c>
      <c r="U968" s="14">
        <v>0.80728307136176625</v>
      </c>
    </row>
    <row r="969" spans="17:21" x14ac:dyDescent="0.2">
      <c r="Q969" s="23">
        <v>968</v>
      </c>
      <c r="R969" s="9">
        <v>70.446824800165103</v>
      </c>
      <c r="S969" s="1">
        <v>0</v>
      </c>
      <c r="T969" s="1">
        <v>-0.85459033258191064</v>
      </c>
      <c r="U969" s="14">
        <v>-0.85459033258191064</v>
      </c>
    </row>
    <row r="970" spans="17:21" x14ac:dyDescent="0.2">
      <c r="Q970" s="23">
        <v>969</v>
      </c>
      <c r="R970" s="9">
        <v>108.13733075971749</v>
      </c>
      <c r="S970" s="1">
        <v>8.1373347597174046</v>
      </c>
      <c r="T970" s="1">
        <v>7.1420289409407616</v>
      </c>
      <c r="U970" s="14">
        <v>-0.99530581877664304</v>
      </c>
    </row>
    <row r="971" spans="17:21" x14ac:dyDescent="0.2">
      <c r="Q971" s="23">
        <v>970</v>
      </c>
      <c r="R971" s="9">
        <v>161.60320871907786</v>
      </c>
      <c r="S971" s="1">
        <v>61.603212719077774</v>
      </c>
      <c r="T971" s="1">
        <v>61.270329345594845</v>
      </c>
      <c r="U971" s="14">
        <v>-0.33288337348292885</v>
      </c>
    </row>
    <row r="972" spans="17:21" x14ac:dyDescent="0.2">
      <c r="Q972" s="23">
        <v>971</v>
      </c>
      <c r="R972" s="9">
        <v>92.530847851353485</v>
      </c>
      <c r="S972" s="1">
        <v>0</v>
      </c>
      <c r="T972" s="1">
        <v>-2.8388768790970076</v>
      </c>
      <c r="U972" s="14">
        <v>-2.8388768790970076</v>
      </c>
    </row>
    <row r="973" spans="17:21" x14ac:dyDescent="0.2">
      <c r="Q973" s="23">
        <v>972</v>
      </c>
      <c r="R973" s="9">
        <v>184.18671680603725</v>
      </c>
      <c r="S973" s="1">
        <v>84.186720806037172</v>
      </c>
      <c r="T973" s="1">
        <v>84.869237470178703</v>
      </c>
      <c r="U973" s="14">
        <v>0.68251666414153078</v>
      </c>
    </row>
    <row r="974" spans="17:21" x14ac:dyDescent="0.2">
      <c r="Q974" s="23">
        <v>973</v>
      </c>
      <c r="R974" s="9">
        <v>101.32157446232938</v>
      </c>
      <c r="S974" s="1">
        <v>1.321578462329299</v>
      </c>
      <c r="T974" s="1">
        <v>1.6139028064972081</v>
      </c>
      <c r="U974" s="14">
        <v>0.29232434416790909</v>
      </c>
    </row>
    <row r="975" spans="17:21" x14ac:dyDescent="0.2">
      <c r="Q975" s="23">
        <v>974</v>
      </c>
      <c r="R975" s="9">
        <v>118.85351222764812</v>
      </c>
      <c r="S975" s="1">
        <v>18.853516227648043</v>
      </c>
      <c r="T975" s="1">
        <v>18.543775020059485</v>
      </c>
      <c r="U975" s="14">
        <v>-0.30974120758855861</v>
      </c>
    </row>
    <row r="976" spans="17:21" x14ac:dyDescent="0.2">
      <c r="Q976" s="23">
        <v>975</v>
      </c>
      <c r="R976" s="9">
        <v>121.92056318716904</v>
      </c>
      <c r="S976" s="1">
        <v>21.920567187168956</v>
      </c>
      <c r="T976" s="1">
        <v>23.033080082788373</v>
      </c>
      <c r="U976" s="14">
        <v>1.1125128956194175</v>
      </c>
    </row>
    <row r="977" spans="17:21" x14ac:dyDescent="0.2">
      <c r="Q977" s="23">
        <v>976</v>
      </c>
      <c r="R977" s="9">
        <v>88.471891882302188</v>
      </c>
      <c r="S977" s="1">
        <v>0</v>
      </c>
      <c r="T977" s="1">
        <v>0.1741354014226188</v>
      </c>
      <c r="U977" s="14">
        <v>0.1741354014226188</v>
      </c>
    </row>
    <row r="978" spans="17:21" x14ac:dyDescent="0.2">
      <c r="Q978" s="23">
        <v>977</v>
      </c>
      <c r="R978" s="9">
        <v>107.99300393867293</v>
      </c>
      <c r="S978" s="1">
        <v>7.9930079386728465</v>
      </c>
      <c r="T978" s="1">
        <v>8.0530798995833948</v>
      </c>
      <c r="U978" s="14">
        <v>6.0071960910548228E-2</v>
      </c>
    </row>
    <row r="979" spans="17:21" x14ac:dyDescent="0.2">
      <c r="Q979" s="23">
        <v>978</v>
      </c>
      <c r="R979" s="9">
        <v>109.24033945644595</v>
      </c>
      <c r="S979" s="1">
        <v>9.2403434564458706</v>
      </c>
      <c r="T979" s="1">
        <v>9.7842339390460751</v>
      </c>
      <c r="U979" s="14">
        <v>0.54389048260020445</v>
      </c>
    </row>
    <row r="980" spans="17:21" x14ac:dyDescent="0.2">
      <c r="Q980" s="23">
        <v>979</v>
      </c>
      <c r="R980" s="9">
        <v>92.002023554059363</v>
      </c>
      <c r="S980" s="1">
        <v>0</v>
      </c>
      <c r="T980" s="1">
        <v>-3.288249037355595E-2</v>
      </c>
      <c r="U980" s="14">
        <v>-3.288249037355595E-2</v>
      </c>
    </row>
    <row r="981" spans="17:21" x14ac:dyDescent="0.2">
      <c r="Q981" s="23">
        <v>980</v>
      </c>
      <c r="R981" s="9">
        <v>76.616384766029356</v>
      </c>
      <c r="S981" s="1">
        <v>0</v>
      </c>
      <c r="T981" s="1">
        <v>-0.45512442311420775</v>
      </c>
      <c r="U981" s="14">
        <v>-0.45512442311420775</v>
      </c>
    </row>
    <row r="982" spans="17:21" x14ac:dyDescent="0.2">
      <c r="Q982" s="23">
        <v>981</v>
      </c>
      <c r="R982" s="9">
        <v>84.407061942181585</v>
      </c>
      <c r="S982" s="1">
        <v>0</v>
      </c>
      <c r="T982" s="1">
        <v>-3.2115048865108561E-2</v>
      </c>
      <c r="U982" s="14">
        <v>-3.2115048865108561E-2</v>
      </c>
    </row>
    <row r="983" spans="17:21" x14ac:dyDescent="0.2">
      <c r="Q983" s="23">
        <v>982</v>
      </c>
      <c r="R983" s="9">
        <v>124.0427785341757</v>
      </c>
      <c r="S983" s="1">
        <v>24.042782534175615</v>
      </c>
      <c r="T983" s="1">
        <v>23.773240086889388</v>
      </c>
      <c r="U983" s="14">
        <v>-0.26954244728622712</v>
      </c>
    </row>
    <row r="984" spans="17:21" x14ac:dyDescent="0.2">
      <c r="Q984" s="23">
        <v>983</v>
      </c>
      <c r="R984" s="9">
        <v>117.61156350407225</v>
      </c>
      <c r="S984" s="1">
        <v>17.61156750407217</v>
      </c>
      <c r="T984" s="1">
        <v>20.22466576637278</v>
      </c>
      <c r="U984" s="14">
        <v>2.6130982623006105</v>
      </c>
    </row>
    <row r="985" spans="17:21" x14ac:dyDescent="0.2">
      <c r="Q985" s="23">
        <v>984</v>
      </c>
      <c r="R985" s="9">
        <v>118.74642675781799</v>
      </c>
      <c r="S985" s="1">
        <v>18.746430757817905</v>
      </c>
      <c r="T985" s="1">
        <v>19.074541109873053</v>
      </c>
      <c r="U985" s="14">
        <v>0.32811035205514827</v>
      </c>
    </row>
    <row r="986" spans="17:21" x14ac:dyDescent="0.2">
      <c r="Q986" s="23">
        <v>985</v>
      </c>
      <c r="R986" s="9">
        <v>90.027768313392471</v>
      </c>
      <c r="S986" s="1">
        <v>0</v>
      </c>
      <c r="T986" s="1">
        <v>-3.3975700640818944</v>
      </c>
      <c r="U986" s="14">
        <v>-3.3975700640818944</v>
      </c>
    </row>
    <row r="987" spans="17:21" x14ac:dyDescent="0.2">
      <c r="Q987" s="23">
        <v>986</v>
      </c>
      <c r="R987" s="9">
        <v>88.69982957113227</v>
      </c>
      <c r="S987" s="1">
        <v>0</v>
      </c>
      <c r="T987" s="1">
        <v>1.2397124870152831</v>
      </c>
      <c r="U987" s="14">
        <v>1.2397124870152831</v>
      </c>
    </row>
    <row r="988" spans="17:21" x14ac:dyDescent="0.2">
      <c r="Q988" s="23">
        <v>987</v>
      </c>
      <c r="R988" s="9">
        <v>86.865545028091546</v>
      </c>
      <c r="S988" s="1">
        <v>0</v>
      </c>
      <c r="T988" s="1">
        <v>-0.58762544869976763</v>
      </c>
      <c r="U988" s="14">
        <v>-0.58762544869976763</v>
      </c>
    </row>
    <row r="989" spans="17:21" x14ac:dyDescent="0.2">
      <c r="Q989" s="23">
        <v>988</v>
      </c>
      <c r="R989" s="9">
        <v>115.38528607797839</v>
      </c>
      <c r="S989" s="1">
        <v>15.385290077978311</v>
      </c>
      <c r="T989" s="1">
        <v>15.335369170648903</v>
      </c>
      <c r="U989" s="14">
        <v>-4.9920907329408237E-2</v>
      </c>
    </row>
    <row r="990" spans="17:21" x14ac:dyDescent="0.2">
      <c r="Q990" s="23">
        <v>989</v>
      </c>
      <c r="R990" s="9">
        <v>86.357220157489522</v>
      </c>
      <c r="S990" s="1">
        <v>0</v>
      </c>
      <c r="T990" s="1">
        <v>0.78116874717057883</v>
      </c>
      <c r="U990" s="14">
        <v>0.78116874717057883</v>
      </c>
    </row>
    <row r="991" spans="17:21" x14ac:dyDescent="0.2">
      <c r="Q991" s="23">
        <v>990</v>
      </c>
      <c r="R991" s="9">
        <v>124.50234584772271</v>
      </c>
      <c r="S991" s="1">
        <v>24.502349847722627</v>
      </c>
      <c r="T991" s="1">
        <v>25.361232854033361</v>
      </c>
      <c r="U991" s="14">
        <v>0.85888300631073378</v>
      </c>
    </row>
    <row r="992" spans="17:21" x14ac:dyDescent="0.2">
      <c r="Q992" s="23">
        <v>991</v>
      </c>
      <c r="R992" s="9">
        <v>83.802782799292075</v>
      </c>
      <c r="S992" s="1">
        <v>0</v>
      </c>
      <c r="T992" s="1">
        <v>0.34918321833965527</v>
      </c>
      <c r="U992" s="14">
        <v>0.34918321833965527</v>
      </c>
    </row>
    <row r="993" spans="17:21" x14ac:dyDescent="0.2">
      <c r="Q993" s="23">
        <v>992</v>
      </c>
      <c r="R993" s="9">
        <v>112.82384577077043</v>
      </c>
      <c r="S993" s="1">
        <v>12.823849770770352</v>
      </c>
      <c r="T993" s="1">
        <v>12.009600167930856</v>
      </c>
      <c r="U993" s="14">
        <v>-0.81424960283949588</v>
      </c>
    </row>
    <row r="994" spans="17:21" x14ac:dyDescent="0.2">
      <c r="Q994" s="23">
        <v>993</v>
      </c>
      <c r="R994" s="9">
        <v>104.06854274068235</v>
      </c>
      <c r="S994" s="1">
        <v>4.0685467406822653</v>
      </c>
      <c r="T994" s="1">
        <v>4.9746421152304379</v>
      </c>
      <c r="U994" s="14">
        <v>0.90609537454817257</v>
      </c>
    </row>
    <row r="995" spans="17:21" x14ac:dyDescent="0.2">
      <c r="Q995" s="23">
        <v>994</v>
      </c>
      <c r="R995" s="9">
        <v>107.83743804357498</v>
      </c>
      <c r="S995" s="1">
        <v>7.8374420435748959</v>
      </c>
      <c r="T995" s="1">
        <v>7.3898875536596051</v>
      </c>
      <c r="U995" s="14">
        <v>-0.44755448991529079</v>
      </c>
    </row>
    <row r="996" spans="17:21" x14ac:dyDescent="0.2">
      <c r="Q996" s="23">
        <v>995</v>
      </c>
      <c r="R996" s="9">
        <v>145.95749767552292</v>
      </c>
      <c r="S996" s="1">
        <v>45.957501675522835</v>
      </c>
      <c r="T996" s="1">
        <v>46.815783455924773</v>
      </c>
      <c r="U996" s="14">
        <v>0.85828178040193848</v>
      </c>
    </row>
    <row r="997" spans="17:21" x14ac:dyDescent="0.2">
      <c r="Q997" s="23">
        <v>996</v>
      </c>
      <c r="R997" s="9">
        <v>113.18638093792119</v>
      </c>
      <c r="S997" s="1">
        <v>13.186384937921105</v>
      </c>
      <c r="T997" s="1">
        <v>12.778820340718582</v>
      </c>
      <c r="U997" s="14">
        <v>-0.4075645972025228</v>
      </c>
    </row>
    <row r="998" spans="17:21" x14ac:dyDescent="0.2">
      <c r="Q998" s="23">
        <v>997</v>
      </c>
      <c r="R998" s="9">
        <v>105.85924530694859</v>
      </c>
      <c r="S998" s="1">
        <v>5.859249306948513</v>
      </c>
      <c r="T998" s="1">
        <v>5.9756008080090339</v>
      </c>
      <c r="U998" s="14">
        <v>0.11635150106052095</v>
      </c>
    </row>
    <row r="999" spans="17:21" x14ac:dyDescent="0.2">
      <c r="Q999" s="23">
        <v>998</v>
      </c>
      <c r="R999" s="9">
        <v>158.02757095723939</v>
      </c>
      <c r="S999" s="1">
        <v>58.02757495723931</v>
      </c>
      <c r="T999" s="1">
        <v>57.932559042439365</v>
      </c>
      <c r="U999" s="14">
        <v>-9.5015914799944312E-2</v>
      </c>
    </row>
    <row r="1000" spans="17:21" x14ac:dyDescent="0.2">
      <c r="Q1000" s="23">
        <v>999</v>
      </c>
      <c r="R1000" s="9">
        <v>85.499214316162139</v>
      </c>
      <c r="S1000" s="1">
        <v>0</v>
      </c>
      <c r="T1000" s="1">
        <v>-0.19050793044946679</v>
      </c>
      <c r="U1000" s="14">
        <v>-0.19050793044946679</v>
      </c>
    </row>
    <row r="1001" spans="17:21" ht="17" thickBot="1" x14ac:dyDescent="0.25">
      <c r="Q1001" s="26">
        <v>1000</v>
      </c>
      <c r="R1001" s="36">
        <v>141.17328959426689</v>
      </c>
      <c r="S1001" s="28">
        <v>41.173293594266809</v>
      </c>
      <c r="T1001" s="28">
        <v>41.632810099148642</v>
      </c>
      <c r="U1001" s="17">
        <v>0.45951650488183304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5FD7-3405-F248-80DD-0DFAA627A074}">
  <sheetPr codeName="Sheet2"/>
  <dimension ref="B1:O31"/>
  <sheetViews>
    <sheetView workbookViewId="0">
      <selection activeCell="C7" sqref="C7"/>
    </sheetView>
  </sheetViews>
  <sheetFormatPr baseColWidth="10" defaultRowHeight="16" x14ac:dyDescent="0.2"/>
  <sheetData>
    <row r="1" spans="2:15" ht="18" x14ac:dyDescent="0.25">
      <c r="E1" s="2" t="s">
        <v>5</v>
      </c>
      <c r="F1" s="3" t="s">
        <v>5</v>
      </c>
      <c r="G1" s="2" t="s">
        <v>6</v>
      </c>
      <c r="H1" s="2" t="s">
        <v>7</v>
      </c>
      <c r="I1" s="2" t="s">
        <v>14</v>
      </c>
      <c r="J1" s="2" t="s">
        <v>15</v>
      </c>
      <c r="K1" s="2" t="s">
        <v>16</v>
      </c>
      <c r="L1" s="3" t="s">
        <v>8</v>
      </c>
      <c r="M1" s="2" t="s">
        <v>10</v>
      </c>
      <c r="N1" s="2" t="s">
        <v>11</v>
      </c>
      <c r="O1" s="2" t="s">
        <v>17</v>
      </c>
    </row>
    <row r="2" spans="2:15" x14ac:dyDescent="0.2">
      <c r="B2" s="2" t="s">
        <v>0</v>
      </c>
      <c r="C2" s="1">
        <v>100</v>
      </c>
      <c r="E2">
        <v>0</v>
      </c>
      <c r="F2">
        <f>C6</f>
        <v>3</v>
      </c>
      <c r="G2">
        <f ca="1">NORMINV(RAND(),0,1)</f>
        <v>-0.56365334420969149</v>
      </c>
      <c r="H2">
        <f>C2</f>
        <v>100</v>
      </c>
      <c r="I2">
        <f>(LN(H2/$C$3)+($C$4+0.5*($C$5^2))*F2)/($C$5*SQRT(F2))</f>
        <v>0.51961524227066325</v>
      </c>
      <c r="J2">
        <f>I2-$C$5*SQRT(F2)</f>
        <v>0.17320508075688779</v>
      </c>
      <c r="K2">
        <f>H2*NORMSDIST(I2)-$C$3*NORMSDIST(J2)*EXP(-$C$4*F2)</f>
        <v>19.38937829251261</v>
      </c>
      <c r="L2">
        <f>NORMSDIST(I2)</f>
        <v>0.69833411385406685</v>
      </c>
    </row>
    <row r="3" spans="2:15" x14ac:dyDescent="0.2">
      <c r="B3" s="2" t="s">
        <v>1</v>
      </c>
      <c r="C3" s="1">
        <v>100</v>
      </c>
      <c r="E3">
        <f>$C$6/29 +E2</f>
        <v>0.10344827586206896</v>
      </c>
      <c r="F3">
        <f>F2-$C$7</f>
        <v>2.896551724137931</v>
      </c>
      <c r="G3">
        <f t="shared" ref="G3:G31" ca="1" si="0">NORMINV(RAND(),0,1)</f>
        <v>0.17609948300350986</v>
      </c>
      <c r="H3">
        <f ca="1">$H$2*EXP(($C$4-0.5*$C$5^2)*F3+$C$5*SQRT(F3)*G3)</f>
        <v>112.51008636752407</v>
      </c>
      <c r="I3">
        <f t="shared" ref="I3:I31" ca="1" si="1">(LN(H3/$C$3)+($C$4+0.5*($C$5^2))*F3)/($C$5*SQRT(F3))</f>
        <v>0.85686983772092029</v>
      </c>
      <c r="J3">
        <f t="shared" ref="J3:J31" ca="1" si="2">I3-$C$5*SQRT(F3)</f>
        <v>0.51648466036221508</v>
      </c>
      <c r="K3">
        <f t="shared" ref="K3:K31" ca="1" si="3">H3*NORMSDIST(I3)-$C$3*NORMSDIST(J3)*EXP(-$C$4*F3)</f>
        <v>28.389051330805565</v>
      </c>
      <c r="L3">
        <f t="shared" ref="L3:L31" ca="1" si="4">NORMSDIST(I3)</f>
        <v>0.80424158806823387</v>
      </c>
    </row>
    <row r="4" spans="2:15" x14ac:dyDescent="0.2">
      <c r="B4" s="2" t="s">
        <v>2</v>
      </c>
      <c r="C4" s="5">
        <v>0.04</v>
      </c>
      <c r="E4">
        <f t="shared" ref="E4:E31" si="5">$C$6/29 +E3</f>
        <v>0.20689655172413793</v>
      </c>
      <c r="F4">
        <f t="shared" ref="F4:F31" si="6">F3-$C$7</f>
        <v>2.7931034482758621</v>
      </c>
      <c r="G4">
        <f t="shared" ca="1" si="0"/>
        <v>0.62407291827003097</v>
      </c>
      <c r="H4">
        <f t="shared" ref="H4:H31" ca="1" si="7">$H$2*EXP(($C$4-0.5*$C$5^2)*F4+$C$5*SQRT(F4)*G4)</f>
        <v>130.27265911579136</v>
      </c>
      <c r="I4">
        <f t="shared" ca="1" si="1"/>
        <v>1.2925761357074179</v>
      </c>
      <c r="J4">
        <f t="shared" ca="1" si="2"/>
        <v>0.95832452698872461</v>
      </c>
      <c r="K4">
        <f t="shared" ca="1" si="3"/>
        <v>43.17558092556628</v>
      </c>
      <c r="L4">
        <f t="shared" ca="1" si="4"/>
        <v>0.90192115111771265</v>
      </c>
    </row>
    <row r="5" spans="2:15" x14ac:dyDescent="0.2">
      <c r="B5" s="6" t="s">
        <v>3</v>
      </c>
      <c r="C5" s="5">
        <v>0.2</v>
      </c>
      <c r="E5">
        <f t="shared" si="5"/>
        <v>0.31034482758620691</v>
      </c>
      <c r="F5">
        <f t="shared" si="6"/>
        <v>2.6896551724137931</v>
      </c>
      <c r="G5">
        <f t="shared" ca="1" si="0"/>
        <v>-0.39839475174125383</v>
      </c>
      <c r="H5">
        <f t="shared" ca="1" si="7"/>
        <v>92.599937860946142</v>
      </c>
      <c r="I5">
        <f t="shared" ca="1" si="1"/>
        <v>0.25761197656738732</v>
      </c>
      <c r="J5">
        <f t="shared" ca="1" si="2"/>
        <v>-7.0391387586933141E-2</v>
      </c>
      <c r="K5">
        <f t="shared" ca="1" si="3"/>
        <v>13.332190824756957</v>
      </c>
      <c r="L5">
        <f t="shared" ca="1" si="4"/>
        <v>0.60164680717062025</v>
      </c>
    </row>
    <row r="6" spans="2:15" x14ac:dyDescent="0.2">
      <c r="B6" s="2" t="s">
        <v>4</v>
      </c>
      <c r="C6" s="1">
        <v>3</v>
      </c>
      <c r="E6">
        <f t="shared" si="5"/>
        <v>0.41379310344827586</v>
      </c>
      <c r="F6">
        <f t="shared" si="6"/>
        <v>2.5862068965517242</v>
      </c>
      <c r="G6">
        <f t="shared" ca="1" si="0"/>
        <v>-0.4022145213907744</v>
      </c>
      <c r="H6">
        <f t="shared" ca="1" si="7"/>
        <v>92.529596443789245</v>
      </c>
      <c r="I6">
        <f t="shared" ca="1" si="1"/>
        <v>0.2410529995119024</v>
      </c>
      <c r="J6">
        <f t="shared" ca="1" si="2"/>
        <v>-8.0580760939436058E-2</v>
      </c>
      <c r="K6">
        <f t="shared" ca="1" si="3"/>
        <v>12.88709997535009</v>
      </c>
      <c r="L6">
        <f t="shared" ca="1" si="4"/>
        <v>0.59524298015817079</v>
      </c>
    </row>
    <row r="7" spans="2:15" x14ac:dyDescent="0.2">
      <c r="B7" s="7" t="s">
        <v>13</v>
      </c>
      <c r="C7" s="1">
        <f>E5-E4</f>
        <v>0.10344827586206898</v>
      </c>
      <c r="E7">
        <f t="shared" si="5"/>
        <v>0.51724137931034486</v>
      </c>
      <c r="F7">
        <f t="shared" si="6"/>
        <v>2.4827586206896552</v>
      </c>
      <c r="G7">
        <f t="shared" ca="1" si="0"/>
        <v>-1.7324266298399911</v>
      </c>
      <c r="H7">
        <f t="shared" ca="1" si="7"/>
        <v>60.878272162166134</v>
      </c>
      <c r="I7">
        <f t="shared" ca="1" si="1"/>
        <v>-1.1021557521133227</v>
      </c>
      <c r="J7">
        <f t="shared" ca="1" si="2"/>
        <v>-1.4172911909766568</v>
      </c>
      <c r="K7">
        <f t="shared" ca="1" si="3"/>
        <v>1.1499476832304429</v>
      </c>
      <c r="L7">
        <f t="shared" ca="1" si="4"/>
        <v>0.1351969824080779</v>
      </c>
    </row>
    <row r="8" spans="2:15" x14ac:dyDescent="0.2">
      <c r="B8" s="2" t="s">
        <v>9</v>
      </c>
      <c r="C8" s="8">
        <v>9.9999999999999995E-7</v>
      </c>
      <c r="E8">
        <f t="shared" si="5"/>
        <v>0.62068965517241381</v>
      </c>
      <c r="F8">
        <f t="shared" si="6"/>
        <v>2.3793103448275863</v>
      </c>
      <c r="G8">
        <f t="shared" ca="1" si="0"/>
        <v>0.61435982470525463</v>
      </c>
      <c r="H8">
        <f t="shared" ca="1" si="7"/>
        <v>126.75886259721207</v>
      </c>
      <c r="I8">
        <f t="shared" ca="1" si="1"/>
        <v>1.2313603556389108</v>
      </c>
      <c r="J8">
        <f t="shared" ca="1" si="2"/>
        <v>0.92286009017208259</v>
      </c>
      <c r="K8">
        <f t="shared" ca="1" si="3"/>
        <v>38.196297854580891</v>
      </c>
      <c r="L8">
        <f t="shared" ca="1" si="4"/>
        <v>0.89090594127912159</v>
      </c>
    </row>
    <row r="9" spans="2:15" x14ac:dyDescent="0.2">
      <c r="B9" s="2" t="s">
        <v>12</v>
      </c>
      <c r="C9" s="1">
        <f ca="1">O21-K21</f>
        <v>-36.017461519995862</v>
      </c>
      <c r="E9">
        <f t="shared" si="5"/>
        <v>0.72413793103448276</v>
      </c>
      <c r="F9">
        <f t="shared" si="6"/>
        <v>2.2758620689655173</v>
      </c>
      <c r="G9">
        <f t="shared" ca="1" si="0"/>
        <v>0.47768534715299094</v>
      </c>
      <c r="H9">
        <f t="shared" ca="1" si="7"/>
        <v>120.88192875562731</v>
      </c>
      <c r="I9">
        <f t="shared" ca="1" si="1"/>
        <v>1.0811237707178838</v>
      </c>
      <c r="J9">
        <f t="shared" ca="1" si="2"/>
        <v>0.77940455893543747</v>
      </c>
      <c r="K9">
        <f t="shared" ca="1" si="3"/>
        <v>32.572766756136446</v>
      </c>
      <c r="L9">
        <f t="shared" ca="1" si="4"/>
        <v>0.86017896956477324</v>
      </c>
    </row>
    <row r="10" spans="2:15" x14ac:dyDescent="0.2">
      <c r="E10">
        <f t="shared" si="5"/>
        <v>0.82758620689655171</v>
      </c>
      <c r="F10">
        <f t="shared" si="6"/>
        <v>2.1724137931034484</v>
      </c>
      <c r="G10">
        <f t="shared" ca="1" si="0"/>
        <v>-0.54383783219854342</v>
      </c>
      <c r="H10">
        <f t="shared" ca="1" si="7"/>
        <v>88.970490152659821</v>
      </c>
      <c r="I10">
        <f t="shared" ca="1" si="1"/>
        <v>4.5726589130077384E-2</v>
      </c>
      <c r="J10">
        <f t="shared" ca="1" si="2"/>
        <v>-0.24905562153423311</v>
      </c>
      <c r="K10">
        <f t="shared" ca="1" si="3"/>
        <v>9.2847448471504848</v>
      </c>
      <c r="L10">
        <f t="shared" ca="1" si="4"/>
        <v>0.51823591454521978</v>
      </c>
    </row>
    <row r="11" spans="2:15" x14ac:dyDescent="0.2">
      <c r="E11">
        <f t="shared" si="5"/>
        <v>0.93103448275862066</v>
      </c>
      <c r="F11">
        <f t="shared" si="6"/>
        <v>2.0689655172413794</v>
      </c>
      <c r="G11">
        <f t="shared" ca="1" si="0"/>
        <v>0.67639016226188564</v>
      </c>
      <c r="H11">
        <f t="shared" ca="1" si="7"/>
        <v>126.61260274535037</v>
      </c>
      <c r="I11">
        <f t="shared" ca="1" si="1"/>
        <v>1.2517461240443464</v>
      </c>
      <c r="J11">
        <f t="shared" ca="1" si="2"/>
        <v>0.96406814315311584</v>
      </c>
      <c r="K11">
        <f t="shared" ca="1" si="3"/>
        <v>36.639158065182983</v>
      </c>
      <c r="L11">
        <f t="shared" ca="1" si="4"/>
        <v>0.89466880632924772</v>
      </c>
    </row>
    <row r="12" spans="2:15" x14ac:dyDescent="0.2">
      <c r="E12">
        <f t="shared" si="5"/>
        <v>1.0344827586206897</v>
      </c>
      <c r="F12">
        <f t="shared" si="6"/>
        <v>1.9655172413793105</v>
      </c>
      <c r="G12">
        <f t="shared" ca="1" si="0"/>
        <v>0.50554262887814816</v>
      </c>
      <c r="H12">
        <f t="shared" ca="1" si="7"/>
        <v>119.84887277257606</v>
      </c>
      <c r="I12">
        <f t="shared" ca="1" si="1"/>
        <v>1.0663302523334892</v>
      </c>
      <c r="J12">
        <f t="shared" ca="1" si="2"/>
        <v>0.78593644060581846</v>
      </c>
      <c r="K12">
        <f t="shared" ca="1" si="3"/>
        <v>30.217424064301639</v>
      </c>
      <c r="L12">
        <f t="shared" ca="1" si="4"/>
        <v>0.85686281067876924</v>
      </c>
    </row>
    <row r="13" spans="2:15" x14ac:dyDescent="0.2">
      <c r="E13">
        <f t="shared" si="5"/>
        <v>1.1379310344827587</v>
      </c>
      <c r="F13">
        <f t="shared" si="6"/>
        <v>1.8620689655172415</v>
      </c>
      <c r="G13">
        <f t="shared" ca="1" si="0"/>
        <v>-1.3382390221549412</v>
      </c>
      <c r="H13">
        <f t="shared" ca="1" si="7"/>
        <v>72.037417164304557</v>
      </c>
      <c r="I13">
        <f t="shared" ca="1" si="1"/>
        <v>-0.79240843077813006</v>
      </c>
      <c r="J13">
        <f t="shared" ca="1" si="2"/>
        <v>-1.0653237264665354</v>
      </c>
      <c r="K13">
        <f t="shared" ca="1" si="3"/>
        <v>2.1129711095571491</v>
      </c>
      <c r="L13">
        <f t="shared" ca="1" si="4"/>
        <v>0.21406128257129825</v>
      </c>
    </row>
    <row r="14" spans="2:15" x14ac:dyDescent="0.2">
      <c r="E14">
        <f t="shared" si="5"/>
        <v>1.2413793103448276</v>
      </c>
      <c r="F14">
        <f t="shared" si="6"/>
        <v>1.7586206896551726</v>
      </c>
      <c r="G14">
        <f t="shared" ca="1" si="0"/>
        <v>-0.89974600635899149</v>
      </c>
      <c r="H14">
        <f t="shared" ca="1" si="7"/>
        <v>81.589989065085305</v>
      </c>
      <c r="I14">
        <f t="shared" ca="1" si="1"/>
        <v>-0.36929401951680169</v>
      </c>
      <c r="J14">
        <f t="shared" ca="1" si="2"/>
        <v>-0.63452001293789706</v>
      </c>
      <c r="K14">
        <f t="shared" ca="1" si="3"/>
        <v>4.5408502217432023</v>
      </c>
      <c r="L14">
        <f t="shared" ca="1" si="4"/>
        <v>0.35595429137412732</v>
      </c>
    </row>
    <row r="15" spans="2:15" x14ac:dyDescent="0.2">
      <c r="E15">
        <f t="shared" si="5"/>
        <v>1.3448275862068966</v>
      </c>
      <c r="F15">
        <f t="shared" si="6"/>
        <v>1.6551724137931036</v>
      </c>
      <c r="G15">
        <f t="shared" ca="1" si="0"/>
        <v>0.99298748297455719</v>
      </c>
      <c r="H15">
        <f t="shared" ca="1" si="7"/>
        <v>133.45659219214474</v>
      </c>
      <c r="I15">
        <f t="shared" ca="1" si="1"/>
        <v>1.5076014996966989</v>
      </c>
      <c r="J15">
        <f t="shared" ca="1" si="2"/>
        <v>1.250294491335628</v>
      </c>
      <c r="K15">
        <f t="shared" ca="1" si="3"/>
        <v>40.960776830205646</v>
      </c>
      <c r="L15">
        <f t="shared" ca="1" si="4"/>
        <v>0.93417172565049866</v>
      </c>
    </row>
    <row r="16" spans="2:15" x14ac:dyDescent="0.2">
      <c r="E16">
        <f t="shared" si="5"/>
        <v>1.4482758620689655</v>
      </c>
      <c r="F16">
        <f t="shared" si="6"/>
        <v>1.5517241379310347</v>
      </c>
      <c r="G16">
        <f t="shared" ca="1" si="0"/>
        <v>1.6128384055506512E-2</v>
      </c>
      <c r="H16">
        <f t="shared" ca="1" si="7"/>
        <v>103.56742365842484</v>
      </c>
      <c r="I16">
        <f t="shared" ca="1" si="1"/>
        <v>0.51440126317794654</v>
      </c>
      <c r="J16">
        <f t="shared" ca="1" si="2"/>
        <v>0.2652648236167266</v>
      </c>
      <c r="K16">
        <f t="shared" ca="1" si="3"/>
        <v>15.315043766321487</v>
      </c>
      <c r="L16">
        <f t="shared" ca="1" si="4"/>
        <v>0.69651426186004695</v>
      </c>
    </row>
    <row r="17" spans="5:12" x14ac:dyDescent="0.2">
      <c r="E17">
        <f t="shared" si="5"/>
        <v>1.5517241379310345</v>
      </c>
      <c r="F17">
        <f t="shared" si="6"/>
        <v>1.4482758620689657</v>
      </c>
      <c r="G17">
        <f t="shared" ca="1" si="0"/>
        <v>1.7691776226837637E-3</v>
      </c>
      <c r="H17">
        <f t="shared" ca="1" si="7"/>
        <v>102.98275265258114</v>
      </c>
      <c r="I17">
        <f t="shared" ca="1" si="1"/>
        <v>0.48314651187413615</v>
      </c>
      <c r="J17">
        <f t="shared" ca="1" si="2"/>
        <v>0.24245784474840995</v>
      </c>
      <c r="K17">
        <f t="shared" ca="1" si="3"/>
        <v>14.369761680636614</v>
      </c>
      <c r="L17">
        <f t="shared" ca="1" si="4"/>
        <v>0.68550414459655762</v>
      </c>
    </row>
    <row r="18" spans="5:12" x14ac:dyDescent="0.2">
      <c r="E18">
        <f t="shared" si="5"/>
        <v>1.6551724137931034</v>
      </c>
      <c r="F18">
        <f t="shared" si="6"/>
        <v>1.3448275862068968</v>
      </c>
      <c r="G18">
        <f t="shared" ca="1" si="0"/>
        <v>0.42529674156301733</v>
      </c>
      <c r="H18">
        <f t="shared" ca="1" si="7"/>
        <v>113.3757199167347</v>
      </c>
      <c r="I18">
        <f t="shared" ca="1" si="1"/>
        <v>0.88916354765405814</v>
      </c>
      <c r="J18">
        <f t="shared" ca="1" si="2"/>
        <v>0.65723014460853757</v>
      </c>
      <c r="K18">
        <f t="shared" ca="1" si="3"/>
        <v>21.629913411618148</v>
      </c>
      <c r="L18">
        <f t="shared" ca="1" si="4"/>
        <v>0.81304240482651968</v>
      </c>
    </row>
    <row r="19" spans="5:12" x14ac:dyDescent="0.2">
      <c r="E19">
        <f t="shared" si="5"/>
        <v>1.7586206896551724</v>
      </c>
      <c r="F19">
        <f t="shared" si="6"/>
        <v>1.2413793103448278</v>
      </c>
      <c r="G19">
        <f t="shared" ca="1" si="0"/>
        <v>-1.0839321453242678</v>
      </c>
      <c r="H19">
        <f t="shared" ca="1" si="7"/>
        <v>80.516360246446567</v>
      </c>
      <c r="I19">
        <f t="shared" ca="1" si="1"/>
        <v>-0.63826333369934296</v>
      </c>
      <c r="J19">
        <f t="shared" ca="1" si="2"/>
        <v>-0.86109773951180524</v>
      </c>
      <c r="K19">
        <f t="shared" ca="1" si="3"/>
        <v>2.5506395618099837</v>
      </c>
      <c r="L19">
        <f t="shared" ca="1" si="4"/>
        <v>0.26165113792988626</v>
      </c>
    </row>
    <row r="20" spans="5:12" x14ac:dyDescent="0.2">
      <c r="E20">
        <f t="shared" si="5"/>
        <v>1.8620689655172413</v>
      </c>
      <c r="F20">
        <f t="shared" si="6"/>
        <v>1.1379310344827589</v>
      </c>
      <c r="G20">
        <f t="shared" ca="1" si="0"/>
        <v>1.1033211834655761</v>
      </c>
      <c r="H20">
        <f t="shared" ca="1" si="7"/>
        <v>129.45325416383778</v>
      </c>
      <c r="I20">
        <f t="shared" ca="1" si="1"/>
        <v>1.5300165847968323</v>
      </c>
      <c r="J20">
        <f t="shared" ca="1" si="2"/>
        <v>1.3166688841312044</v>
      </c>
      <c r="K20">
        <f t="shared" ca="1" si="3"/>
        <v>34.725892579805688</v>
      </c>
      <c r="L20">
        <f t="shared" ca="1" si="4"/>
        <v>0.93699368809069949</v>
      </c>
    </row>
    <row r="21" spans="5:12" x14ac:dyDescent="0.2">
      <c r="E21">
        <f t="shared" si="5"/>
        <v>1.9655172413793103</v>
      </c>
      <c r="F21">
        <f t="shared" si="6"/>
        <v>1.0344827586206899</v>
      </c>
      <c r="G21">
        <f t="shared" ca="1" si="0"/>
        <v>1.2392948996045816</v>
      </c>
      <c r="H21">
        <f t="shared" ca="1" si="7"/>
        <v>131.36189001470501</v>
      </c>
      <c r="I21">
        <f t="shared" ca="1" si="1"/>
        <v>1.6461330017770679</v>
      </c>
      <c r="J21">
        <f t="shared" ca="1" si="2"/>
        <v>1.4427139506908246</v>
      </c>
      <c r="K21">
        <f t="shared" ca="1" si="3"/>
        <v>36.017461519995862</v>
      </c>
      <c r="L21">
        <f t="shared" ca="1" si="4"/>
        <v>0.95013181036746297</v>
      </c>
    </row>
    <row r="22" spans="5:12" x14ac:dyDescent="0.2">
      <c r="E22">
        <f t="shared" si="5"/>
        <v>2.0689655172413794</v>
      </c>
      <c r="F22">
        <f t="shared" si="6"/>
        <v>0.931034482758621</v>
      </c>
      <c r="G22">
        <f t="shared" ca="1" si="0"/>
        <v>3.0274349591133717E-2</v>
      </c>
      <c r="H22">
        <f t="shared" ca="1" si="7"/>
        <v>102.47647165356992</v>
      </c>
      <c r="I22">
        <f t="shared" ca="1" si="1"/>
        <v>0.41623486213274036</v>
      </c>
      <c r="J22">
        <f t="shared" ca="1" si="2"/>
        <v>0.22325460586193724</v>
      </c>
      <c r="K22">
        <f t="shared" ca="1" si="3"/>
        <v>11.093581610730354</v>
      </c>
      <c r="L22">
        <f t="shared" ca="1" si="4"/>
        <v>0.66138092411880134</v>
      </c>
    </row>
    <row r="23" spans="5:12" x14ac:dyDescent="0.2">
      <c r="E23">
        <f t="shared" si="5"/>
        <v>2.1724137931034484</v>
      </c>
      <c r="F23">
        <f t="shared" si="6"/>
        <v>0.82758620689655205</v>
      </c>
      <c r="G23">
        <f t="shared" ca="1" si="0"/>
        <v>-1.5844498194072927</v>
      </c>
      <c r="H23">
        <f t="shared" ca="1" si="7"/>
        <v>76.206100317476569</v>
      </c>
      <c r="I23">
        <f t="shared" ca="1" si="1"/>
        <v>-1.2205627584894188</v>
      </c>
      <c r="J23">
        <f t="shared" ca="1" si="2"/>
        <v>-1.4025062889483557</v>
      </c>
      <c r="K23">
        <f t="shared" ca="1" si="3"/>
        <v>0.69199494612101287</v>
      </c>
      <c r="L23">
        <f t="shared" ca="1" si="4"/>
        <v>0.1111258070406968</v>
      </c>
    </row>
    <row r="24" spans="5:12" x14ac:dyDescent="0.2">
      <c r="E24">
        <f t="shared" si="5"/>
        <v>2.2758620689655173</v>
      </c>
      <c r="F24">
        <f t="shared" si="6"/>
        <v>0.7241379310344831</v>
      </c>
      <c r="G24">
        <f t="shared" ca="1" si="0"/>
        <v>-1.0608440256983529</v>
      </c>
      <c r="H24">
        <f t="shared" ca="1" si="7"/>
        <v>84.699115061745502</v>
      </c>
      <c r="I24">
        <f t="shared" ca="1" si="1"/>
        <v>-0.72045884833964757</v>
      </c>
      <c r="J24">
        <f t="shared" ca="1" si="2"/>
        <v>-0.89065143701900029</v>
      </c>
      <c r="K24">
        <f t="shared" ca="1" si="3"/>
        <v>1.8337268693062008</v>
      </c>
      <c r="L24">
        <f t="shared" ca="1" si="4"/>
        <v>0.23562126407551323</v>
      </c>
    </row>
    <row r="25" spans="5:12" x14ac:dyDescent="0.2">
      <c r="E25">
        <f t="shared" si="5"/>
        <v>2.3793103448275863</v>
      </c>
      <c r="F25">
        <f t="shared" si="6"/>
        <v>0.62068965517241415</v>
      </c>
      <c r="G25">
        <f t="shared" ca="1" si="0"/>
        <v>0.20711717427154525</v>
      </c>
      <c r="H25">
        <f t="shared" ca="1" si="7"/>
        <v>104.60788800201087</v>
      </c>
      <c r="I25">
        <f t="shared" ca="1" si="1"/>
        <v>0.5222526131348797</v>
      </c>
      <c r="J25">
        <f t="shared" ca="1" si="2"/>
        <v>0.36468489370321255</v>
      </c>
      <c r="K25">
        <f t="shared" ca="1" si="3"/>
        <v>10.489795498205297</v>
      </c>
      <c r="L25">
        <f t="shared" ca="1" si="4"/>
        <v>0.69925277101147365</v>
      </c>
    </row>
    <row r="26" spans="5:12" x14ac:dyDescent="0.2">
      <c r="E26">
        <f t="shared" si="5"/>
        <v>2.4827586206896552</v>
      </c>
      <c r="F26">
        <f t="shared" si="6"/>
        <v>0.5172413793103452</v>
      </c>
      <c r="G26">
        <f t="shared" ca="1" si="0"/>
        <v>1.3977649044721538</v>
      </c>
      <c r="H26">
        <f t="shared" ca="1" si="7"/>
        <v>123.54038495693888</v>
      </c>
      <c r="I26">
        <f t="shared" ca="1" si="1"/>
        <v>1.6854428853633849</v>
      </c>
      <c r="J26">
        <f t="shared" ca="1" si="2"/>
        <v>1.5416038949177697</v>
      </c>
      <c r="K26">
        <f t="shared" ca="1" si="3"/>
        <v>25.943604501845584</v>
      </c>
      <c r="L26">
        <f t="shared" ca="1" si="4"/>
        <v>0.95404842227227926</v>
      </c>
    </row>
    <row r="27" spans="5:12" x14ac:dyDescent="0.2">
      <c r="E27">
        <f t="shared" si="5"/>
        <v>2.5862068965517242</v>
      </c>
      <c r="F27">
        <f t="shared" si="6"/>
        <v>0.41379310344827624</v>
      </c>
      <c r="G27">
        <f t="shared" ca="1" si="0"/>
        <v>-0.6571634716962258</v>
      </c>
      <c r="H27">
        <f t="shared" ca="1" si="7"/>
        <v>92.656551686627495</v>
      </c>
      <c r="I27">
        <f t="shared" ca="1" si="1"/>
        <v>-0.39985646333515495</v>
      </c>
      <c r="J27">
        <f t="shared" ca="1" si="2"/>
        <v>-0.52850996751569035</v>
      </c>
      <c r="K27">
        <f t="shared" ca="1" si="3"/>
        <v>2.5651816116196144</v>
      </c>
      <c r="L27">
        <f t="shared" ca="1" si="4"/>
        <v>0.34463112017470177</v>
      </c>
    </row>
    <row r="28" spans="5:12" x14ac:dyDescent="0.2">
      <c r="E28">
        <f t="shared" si="5"/>
        <v>2.6896551724137931</v>
      </c>
      <c r="F28">
        <f t="shared" si="6"/>
        <v>0.31034482758620729</v>
      </c>
      <c r="G28">
        <f t="shared" ca="1" si="0"/>
        <v>-1.1863493262983711</v>
      </c>
      <c r="H28">
        <f t="shared" ca="1" si="7"/>
        <v>88.163880318140556</v>
      </c>
      <c r="I28">
        <f t="shared" ca="1" si="1"/>
        <v>-0.96351492048590803</v>
      </c>
      <c r="J28">
        <f t="shared" ca="1" si="2"/>
        <v>-1.0749321233921392</v>
      </c>
      <c r="K28">
        <f t="shared" ca="1" si="3"/>
        <v>0.83414408438618537</v>
      </c>
      <c r="L28">
        <f t="shared" ca="1" si="4"/>
        <v>0.16764459006800755</v>
      </c>
    </row>
    <row r="29" spans="5:12" x14ac:dyDescent="0.2">
      <c r="E29">
        <f t="shared" si="5"/>
        <v>2.7931034482758621</v>
      </c>
      <c r="F29">
        <f t="shared" si="6"/>
        <v>0.20689655172413832</v>
      </c>
      <c r="G29">
        <f t="shared" ca="1" si="0"/>
        <v>-0.36582322025740049</v>
      </c>
      <c r="H29">
        <f t="shared" ca="1" si="7"/>
        <v>97.127887008358854</v>
      </c>
      <c r="I29">
        <f t="shared" ca="1" si="1"/>
        <v>-0.18387968979846284</v>
      </c>
      <c r="J29">
        <f t="shared" ca="1" si="2"/>
        <v>-0.27485145502793135</v>
      </c>
      <c r="K29">
        <f t="shared" ca="1" si="3"/>
        <v>2.630166932204375</v>
      </c>
      <c r="L29">
        <f t="shared" ca="1" si="4"/>
        <v>0.42705391915743901</v>
      </c>
    </row>
    <row r="30" spans="5:12" x14ac:dyDescent="0.2">
      <c r="E30">
        <f t="shared" si="5"/>
        <v>2.896551724137931</v>
      </c>
      <c r="F30">
        <f t="shared" si="6"/>
        <v>0.10344827586206934</v>
      </c>
      <c r="G30">
        <f t="shared" ca="1" si="0"/>
        <v>-1.3863952686584256</v>
      </c>
      <c r="H30">
        <f t="shared" ca="1" si="7"/>
        <v>91.657320604550506</v>
      </c>
      <c r="I30">
        <f t="shared" ca="1" si="1"/>
        <v>-1.2577417644778903</v>
      </c>
      <c r="J30">
        <f t="shared" ca="1" si="2"/>
        <v>-1.322068516568158</v>
      </c>
      <c r="K30">
        <f t="shared" ca="1" si="3"/>
        <v>0.28576213863049382</v>
      </c>
      <c r="L30">
        <f t="shared" ca="1" si="4"/>
        <v>0.10424258138257986</v>
      </c>
    </row>
    <row r="31" spans="5:12" x14ac:dyDescent="0.2">
      <c r="E31">
        <f t="shared" si="5"/>
        <v>3</v>
      </c>
      <c r="F31">
        <f t="shared" si="6"/>
        <v>3.6082248300317588E-16</v>
      </c>
      <c r="G31">
        <f t="shared" ca="1" si="0"/>
        <v>0.40484578888742029</v>
      </c>
      <c r="H31">
        <f t="shared" ca="1" si="7"/>
        <v>100.00000015380357</v>
      </c>
      <c r="I31">
        <f t="shared" ca="1" si="1"/>
        <v>0.40484579294619405</v>
      </c>
      <c r="J31">
        <f t="shared" ca="1" si="2"/>
        <v>0.40484578914712849</v>
      </c>
      <c r="K31">
        <f t="shared" ca="1" si="3"/>
        <v>2.4071609061593335E-7</v>
      </c>
      <c r="L31">
        <f t="shared" ca="1" si="4"/>
        <v>0.65720456707901886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D65A-10CC-6D4A-B5F1-412F6D71786A}">
  <sheetPr codeName="Sheet3"/>
  <dimension ref="A1:R1001"/>
  <sheetViews>
    <sheetView workbookViewId="0">
      <selection activeCell="H2" sqref="H2"/>
    </sheetView>
  </sheetViews>
  <sheetFormatPr baseColWidth="10" defaultRowHeight="16" x14ac:dyDescent="0.2"/>
  <cols>
    <col min="6" max="6" width="12.33203125" bestFit="1" customWidth="1"/>
    <col min="11" max="11" width="13.6640625" bestFit="1" customWidth="1"/>
    <col min="17" max="17" width="10" bestFit="1" customWidth="1"/>
    <col min="18" max="18" width="12.6640625" bestFit="1" customWidth="1"/>
  </cols>
  <sheetData>
    <row r="1" spans="1:18" s="2" customFormat="1" ht="18" x14ac:dyDescent="0.25">
      <c r="A1" s="12"/>
      <c r="E1" s="2" t="s">
        <v>5</v>
      </c>
      <c r="F1" s="3" t="s">
        <v>5</v>
      </c>
      <c r="G1" s="2" t="s">
        <v>6</v>
      </c>
      <c r="H1" s="2" t="s">
        <v>7</v>
      </c>
      <c r="I1" s="2" t="s">
        <v>14</v>
      </c>
      <c r="J1" s="2" t="s">
        <v>15</v>
      </c>
      <c r="K1" s="2" t="s">
        <v>16</v>
      </c>
      <c r="L1" s="3"/>
    </row>
    <row r="2" spans="1:18" s="1" customFormat="1" x14ac:dyDescent="0.2">
      <c r="A2"/>
      <c r="B2" s="2" t="s">
        <v>0</v>
      </c>
      <c r="C2" s="1">
        <v>100</v>
      </c>
      <c r="E2" s="1">
        <v>0</v>
      </c>
      <c r="F2" s="1">
        <v>1</v>
      </c>
      <c r="H2" s="1">
        <f>C2</f>
        <v>100</v>
      </c>
      <c r="I2" s="4">
        <f>(LN($H$2/$C$3)+($C$4+0.5*($C$5^2))*F2)/($C$5*SQRT(F2))</f>
        <v>0.3</v>
      </c>
      <c r="J2" s="4">
        <f>(LN(H2/$C$3)+($C$4-($C$5^2)/2)*F2)/($C$5*SQRT(F2))</f>
        <v>9.9999999999999978E-2</v>
      </c>
      <c r="K2" s="10">
        <f t="shared" ref="K2:K21" si="0">H2*NORMSDIST(I2)-$C$3*EXP(-$C$4*F2)*NORMSDIST(J2)</f>
        <v>9.9250537172744444</v>
      </c>
      <c r="R2" s="9"/>
    </row>
    <row r="3" spans="1:18" s="1" customFormat="1" x14ac:dyDescent="0.2">
      <c r="A3"/>
      <c r="B3" s="2" t="s">
        <v>1</v>
      </c>
      <c r="C3" s="1">
        <v>100</v>
      </c>
      <c r="E3" s="1">
        <f>E2+($C$6/19)</f>
        <v>5.2631578947368418E-2</v>
      </c>
      <c r="F3" s="1">
        <f>F2-$C$7</f>
        <v>0.94736842105263164</v>
      </c>
      <c r="G3" s="1">
        <f ca="1">NORMINV(RAND(),0,1)</f>
        <v>0.17632169036547152</v>
      </c>
      <c r="H3" s="1">
        <f ca="1">$H$2*EXP(($C$4-0.5*$C$5^2)*F3+$C$5*SQRT(F3)*G3)</f>
        <v>105.47155973831588</v>
      </c>
      <c r="I3" s="4">
        <f ca="1">(LN(H3/$C$3)+($C$4+0.5*($C$5^2))*F3)/($C$5*SQRT(F3))</f>
        <v>0.56565310107930189</v>
      </c>
      <c r="J3" s="4">
        <f ca="1">(LN(H3/$C$3)+($C$4-($C$5^2)*0.5)*F3)/($C$5*SQRT(F3))</f>
        <v>0.3709873957223867</v>
      </c>
      <c r="K3" s="10">
        <f t="shared" ca="1" si="0"/>
        <v>13.255847625352793</v>
      </c>
      <c r="R3" s="9"/>
    </row>
    <row r="4" spans="1:18" s="1" customFormat="1" x14ac:dyDescent="0.2">
      <c r="A4"/>
      <c r="B4" s="2" t="s">
        <v>2</v>
      </c>
      <c r="C4" s="5">
        <v>0.04</v>
      </c>
      <c r="E4" s="1">
        <f t="shared" ref="E4:E20" si="1">E3+($C$6/19)</f>
        <v>0.10526315789473684</v>
      </c>
      <c r="F4" s="1">
        <f t="shared" ref="F4:F20" si="2">F3-$C$7</f>
        <v>0.89473684210526327</v>
      </c>
      <c r="G4" s="1">
        <f t="shared" ref="G4:G21" ca="1" si="3">NORMINV(RAND(),0,1)</f>
        <v>-1.639878300924819</v>
      </c>
      <c r="H4" s="1">
        <f ca="1">$H$2*EXP(($C$4-0.5*$C$5^2)*F4+$C$5*SQRT(F4)*G4)</f>
        <v>74.651529045114856</v>
      </c>
      <c r="I4" s="4">
        <f ca="1">(LN(H4/$C$3)+($C$4+0.5*($C$5^2))*F4)/($C$5*SQRT(F4))</f>
        <v>-1.2615161797540528</v>
      </c>
      <c r="J4" s="4">
        <f t="shared" ref="J4:J21" ca="1" si="4">(LN(H4/$C$3)+($C$4-($C$5^2)*0.5)*F4)/($C$5*SQRT(F4))</f>
        <v>-1.4506972403394365</v>
      </c>
      <c r="K4" s="10">
        <f t="shared" ca="1" si="0"/>
        <v>0.64597495278388717</v>
      </c>
      <c r="R4" s="9"/>
    </row>
    <row r="5" spans="1:18" s="1" customFormat="1" x14ac:dyDescent="0.2">
      <c r="A5"/>
      <c r="B5" s="6" t="s">
        <v>3</v>
      </c>
      <c r="C5" s="5">
        <v>0.2</v>
      </c>
      <c r="E5" s="1">
        <f t="shared" si="1"/>
        <v>0.15789473684210525</v>
      </c>
      <c r="F5" s="1">
        <f t="shared" si="2"/>
        <v>0.84210526315789491</v>
      </c>
      <c r="G5" s="1">
        <f t="shared" ca="1" si="3"/>
        <v>-0.31748146208754402</v>
      </c>
      <c r="H5" s="1">
        <f t="shared" ref="H5:H21" ca="1" si="5">$H$2*EXP(($C$4-0.5*$C$5^2)*F5+$C$5*SQRT(F5)*G5)</f>
        <v>95.942024459477111</v>
      </c>
      <c r="I5" s="4">
        <f ca="1">(LN(H5/$C$3)+($C$4+0.5*($C$5^2))*F5)/($C$5*SQRT(F5))</f>
        <v>4.9583712105355504E-2</v>
      </c>
      <c r="J5" s="4">
        <f t="shared" ca="1" si="4"/>
        <v>-0.13394887499109392</v>
      </c>
      <c r="K5" s="10">
        <f t="shared" ca="1" si="0"/>
        <v>6.6756029078725945</v>
      </c>
      <c r="R5" s="9"/>
    </row>
    <row r="6" spans="1:18" s="1" customFormat="1" x14ac:dyDescent="0.2">
      <c r="A6"/>
      <c r="B6" s="2" t="s">
        <v>4</v>
      </c>
      <c r="C6" s="1">
        <v>1</v>
      </c>
      <c r="E6" s="1">
        <f t="shared" si="1"/>
        <v>0.21052631578947367</v>
      </c>
      <c r="F6" s="1">
        <f t="shared" si="2"/>
        <v>0.78947368421052655</v>
      </c>
      <c r="G6" s="1">
        <f t="shared" ca="1" si="3"/>
        <v>-0.32886440507487669</v>
      </c>
      <c r="H6" s="1">
        <f ca="1">$H$2*EXP(($C$4-0.5*$C$5^2)*F6+$C$5*SQRT(F6)*G6)</f>
        <v>95.824550583852485</v>
      </c>
      <c r="I6" s="4">
        <f t="shared" ref="I6:I21" ca="1" si="6">(LN(H6/$C$3)+($C$4+0.5*($C$5^2))*F6)/($C$5*SQRT(F6))</f>
        <v>2.6544921580578622E-2</v>
      </c>
      <c r="J6" s="4">
        <f t="shared" ca="1" si="4"/>
        <v>-0.15115974174714911</v>
      </c>
      <c r="K6" s="10">
        <f t="shared" ca="1" si="0"/>
        <v>6.3019725462603802</v>
      </c>
      <c r="R6" s="9"/>
    </row>
    <row r="7" spans="1:18" s="1" customFormat="1" x14ac:dyDescent="0.2">
      <c r="A7"/>
      <c r="B7" s="7" t="s">
        <v>13</v>
      </c>
      <c r="C7" s="1">
        <f>E5-E4</f>
        <v>5.2631578947368418E-2</v>
      </c>
      <c r="E7" s="1">
        <f t="shared" si="1"/>
        <v>0.26315789473684209</v>
      </c>
      <c r="F7" s="1">
        <f t="shared" si="2"/>
        <v>0.73684210526315819</v>
      </c>
      <c r="G7" s="1">
        <f t="shared" ca="1" si="3"/>
        <v>-0.35789489873061675</v>
      </c>
      <c r="H7" s="1">
        <f t="shared" ca="1" si="5"/>
        <v>95.436774812029967</v>
      </c>
      <c r="I7" s="4">
        <f t="shared" ca="1" si="6"/>
        <v>-1.4536868619035694E-2</v>
      </c>
      <c r="J7" s="4">
        <f t="shared" ca="1" si="4"/>
        <v>-0.18621588367482617</v>
      </c>
      <c r="K7" s="10">
        <f t="shared" ca="1" si="0"/>
        <v>5.7888163261856462</v>
      </c>
      <c r="R7" s="9"/>
    </row>
    <row r="8" spans="1:18" s="1" customFormat="1" x14ac:dyDescent="0.2">
      <c r="A8"/>
      <c r="B8" s="2" t="s">
        <v>9</v>
      </c>
      <c r="C8" s="8">
        <v>9.9999999999999995E-7</v>
      </c>
      <c r="E8" s="1">
        <f t="shared" si="1"/>
        <v>0.31578947368421051</v>
      </c>
      <c r="F8" s="1">
        <f t="shared" si="2"/>
        <v>0.68421052631578982</v>
      </c>
      <c r="G8" s="1">
        <f t="shared" ca="1" si="3"/>
        <v>1.0451996571358144</v>
      </c>
      <c r="H8" s="1">
        <f t="shared" ca="1" si="5"/>
        <v>120.51400818850991</v>
      </c>
      <c r="I8" s="4">
        <f t="shared" ca="1" si="6"/>
        <v>1.3760677338832188</v>
      </c>
      <c r="J8" s="4">
        <f t="shared" ca="1" si="4"/>
        <v>1.2106336955095165</v>
      </c>
      <c r="K8" s="10">
        <f t="shared" ca="1" si="0"/>
        <v>24.038989184460334</v>
      </c>
      <c r="R8" s="9"/>
    </row>
    <row r="9" spans="1:18" s="1" customFormat="1" x14ac:dyDescent="0.2">
      <c r="A9"/>
      <c r="B9" s="2" t="s">
        <v>12</v>
      </c>
      <c r="C9" s="1">
        <f ca="1">O21-K21</f>
        <v>-1.4575289919307011E-2</v>
      </c>
      <c r="E9" s="1">
        <f t="shared" si="1"/>
        <v>0.36842105263157893</v>
      </c>
      <c r="F9" s="1">
        <f t="shared" si="2"/>
        <v>0.63157894736842146</v>
      </c>
      <c r="G9" s="1">
        <f t="shared" ca="1" si="3"/>
        <v>-0.65856921035462612</v>
      </c>
      <c r="H9" s="1">
        <f t="shared" ca="1" si="5"/>
        <v>91.206504655845279</v>
      </c>
      <c r="I9" s="4">
        <f t="shared" ca="1" si="6"/>
        <v>-0.34068144465901529</v>
      </c>
      <c r="J9" s="4">
        <f t="shared" ca="1" si="4"/>
        <v>-0.49962532750682065</v>
      </c>
      <c r="K9" s="10">
        <f t="shared" ca="1" si="0"/>
        <v>3.34592738986467</v>
      </c>
      <c r="R9" s="9"/>
    </row>
    <row r="10" spans="1:18" s="1" customFormat="1" x14ac:dyDescent="0.2">
      <c r="A10"/>
      <c r="E10" s="1">
        <f t="shared" si="1"/>
        <v>0.42105263157894735</v>
      </c>
      <c r="F10" s="1">
        <f t="shared" si="2"/>
        <v>0.5789473684210531</v>
      </c>
      <c r="G10" s="1">
        <f t="shared" ca="1" si="3"/>
        <v>-0.37356417385816082</v>
      </c>
      <c r="H10" s="1">
        <f t="shared" ca="1" si="5"/>
        <v>95.574035699111519</v>
      </c>
      <c r="I10" s="4">
        <f t="shared" ca="1" si="6"/>
        <v>-6.9209809757087723E-2</v>
      </c>
      <c r="J10" s="4">
        <f t="shared" ca="1" si="4"/>
        <v>-0.22138699180762428</v>
      </c>
      <c r="K10" s="10">
        <f t="shared" ca="1" si="0"/>
        <v>4.854747172311356</v>
      </c>
      <c r="R10" s="9"/>
    </row>
    <row r="11" spans="1:18" s="1" customFormat="1" x14ac:dyDescent="0.2">
      <c r="A11"/>
      <c r="E11" s="1">
        <f t="shared" si="1"/>
        <v>0.47368421052631576</v>
      </c>
      <c r="F11" s="1">
        <f t="shared" si="2"/>
        <v>0.52631578947368474</v>
      </c>
      <c r="G11" s="1">
        <f t="shared" ca="1" si="3"/>
        <v>-0.12091670286413232</v>
      </c>
      <c r="H11" s="1">
        <f t="shared" ca="1" si="5"/>
        <v>99.300644607300526</v>
      </c>
      <c r="I11" s="4">
        <f t="shared" ca="1" si="6"/>
        <v>0.16927379717987234</v>
      </c>
      <c r="J11" s="4">
        <f t="shared" ca="1" si="4"/>
        <v>2.4178547157869896E-2</v>
      </c>
      <c r="K11" s="10">
        <f t="shared" ca="1" si="0"/>
        <v>6.4214857229168061</v>
      </c>
      <c r="R11" s="9"/>
    </row>
    <row r="12" spans="1:18" s="1" customFormat="1" x14ac:dyDescent="0.2">
      <c r="A12"/>
      <c r="E12" s="1">
        <f t="shared" si="1"/>
        <v>0.52631578947368418</v>
      </c>
      <c r="F12" s="1">
        <f t="shared" si="2"/>
        <v>0.47368421052631632</v>
      </c>
      <c r="G12" s="1">
        <f t="shared" ca="1" si="3"/>
        <v>-0.64621996497320811</v>
      </c>
      <c r="H12" s="1">
        <f ca="1">$H$2*EXP(($C$4-0.5*$C$5^2)*F12+$C$5*SQRT(F12)*G12)</f>
        <v>92.359821672282209</v>
      </c>
      <c r="I12" s="4">
        <f t="shared" ca="1" si="6"/>
        <v>-0.37092108432853416</v>
      </c>
      <c r="J12" s="4">
        <f t="shared" ca="1" si="4"/>
        <v>-0.50857052465087138</v>
      </c>
      <c r="K12" s="10">
        <f t="shared" ca="1" si="0"/>
        <v>2.8406703868306096</v>
      </c>
      <c r="R12" s="9"/>
    </row>
    <row r="13" spans="1:18" s="1" customFormat="1" x14ac:dyDescent="0.2">
      <c r="A13"/>
      <c r="E13" s="1">
        <f t="shared" si="1"/>
        <v>0.57894736842105265</v>
      </c>
      <c r="F13" s="1">
        <f t="shared" si="2"/>
        <v>0.4210526315789479</v>
      </c>
      <c r="G13" s="1">
        <f t="shared" ca="1" si="3"/>
        <v>0.86667092898138787</v>
      </c>
      <c r="H13" s="1">
        <f t="shared" ca="1" si="5"/>
        <v>112.8506553396593</v>
      </c>
      <c r="I13" s="4">
        <f t="shared" ca="1" si="6"/>
        <v>1.1262252027906083</v>
      </c>
      <c r="J13" s="4">
        <f t="shared" ca="1" si="4"/>
        <v>0.99644806588599832</v>
      </c>
      <c r="K13" s="10">
        <f t="shared" ca="1" si="0"/>
        <v>15.531430850118042</v>
      </c>
      <c r="R13" s="9"/>
    </row>
    <row r="14" spans="1:18" s="1" customFormat="1" x14ac:dyDescent="0.2">
      <c r="A14"/>
      <c r="E14" s="1">
        <f t="shared" si="1"/>
        <v>0.63157894736842102</v>
      </c>
      <c r="F14" s="1">
        <f t="shared" si="2"/>
        <v>0.36842105263157948</v>
      </c>
      <c r="G14" s="1">
        <f t="shared" ca="1" si="3"/>
        <v>-7.7122151250165361E-2</v>
      </c>
      <c r="H14" s="1">
        <f t="shared" ca="1" si="5"/>
        <v>99.800813338631869</v>
      </c>
      <c r="I14" s="4">
        <f t="shared" ca="1" si="6"/>
        <v>0.16566864021658875</v>
      </c>
      <c r="J14" s="4">
        <f t="shared" ca="1" si="4"/>
        <v>4.4273244483211842E-2</v>
      </c>
      <c r="K14" s="10">
        <f t="shared" ca="1" si="0"/>
        <v>5.4580144831956261</v>
      </c>
      <c r="R14" s="9"/>
    </row>
    <row r="15" spans="1:18" s="1" customFormat="1" x14ac:dyDescent="0.2">
      <c r="A15"/>
      <c r="E15" s="1">
        <f t="shared" si="1"/>
        <v>0.68421052631578938</v>
      </c>
      <c r="F15" s="1">
        <f t="shared" si="2"/>
        <v>0.31578947368421106</v>
      </c>
      <c r="G15" s="1">
        <f t="shared" ca="1" si="3"/>
        <v>3.6532773710653221E-2</v>
      </c>
      <c r="H15" s="1">
        <f t="shared" ca="1" si="5"/>
        <v>101.0476214033508</v>
      </c>
      <c r="I15" s="4">
        <f t="shared" ca="1" si="6"/>
        <v>0.26131336849026027</v>
      </c>
      <c r="J15" s="4">
        <f t="shared" ca="1" si="4"/>
        <v>0.14892307110045694</v>
      </c>
      <c r="K15" s="10">
        <f t="shared" ca="1" si="0"/>
        <v>5.7218741445923271</v>
      </c>
      <c r="R15" s="9"/>
    </row>
    <row r="16" spans="1:18" s="1" customFormat="1" x14ac:dyDescent="0.2">
      <c r="A16"/>
      <c r="E16" s="1">
        <f t="shared" si="1"/>
        <v>0.73684210526315774</v>
      </c>
      <c r="F16" s="1">
        <f t="shared" si="2"/>
        <v>0.26315789473684265</v>
      </c>
      <c r="G16" s="1">
        <f t="shared" ca="1" si="3"/>
        <v>0.70388628397856412</v>
      </c>
      <c r="H16" s="1">
        <f t="shared" ca="1" si="5"/>
        <v>108.05610174487863</v>
      </c>
      <c r="I16" s="4">
        <f t="shared" ca="1" si="6"/>
        <v>0.90908195439559547</v>
      </c>
      <c r="J16" s="4">
        <f t="shared" ca="1" si="4"/>
        <v>0.80648411918707996</v>
      </c>
      <c r="K16" s="10">
        <f t="shared" ca="1" si="0"/>
        <v>10.252764403490005</v>
      </c>
      <c r="R16" s="9"/>
    </row>
    <row r="17" spans="1:18" s="1" customFormat="1" x14ac:dyDescent="0.2">
      <c r="A17"/>
      <c r="E17" s="1">
        <f t="shared" si="1"/>
        <v>0.78947368421052611</v>
      </c>
      <c r="F17" s="1">
        <f t="shared" si="2"/>
        <v>0.21052631578947423</v>
      </c>
      <c r="G17" s="1">
        <f t="shared" ca="1" si="3"/>
        <v>-0.27089186883549332</v>
      </c>
      <c r="H17" s="1">
        <f t="shared" ca="1" si="5"/>
        <v>97.956349830032948</v>
      </c>
      <c r="I17" s="4">
        <f t="shared" ca="1" si="6"/>
        <v>-8.7359281739043934E-2</v>
      </c>
      <c r="J17" s="4">
        <f t="shared" ca="1" si="4"/>
        <v>-0.1791255752872688</v>
      </c>
      <c r="K17" s="10">
        <f t="shared" ca="1" si="0"/>
        <v>3.0363288350229354</v>
      </c>
      <c r="R17" s="9"/>
    </row>
    <row r="18" spans="1:18" s="1" customFormat="1" x14ac:dyDescent="0.2">
      <c r="A18"/>
      <c r="E18" s="1">
        <f t="shared" si="1"/>
        <v>0.84210526315789447</v>
      </c>
      <c r="F18" s="1">
        <f t="shared" si="2"/>
        <v>0.15789473684210581</v>
      </c>
      <c r="G18" s="1">
        <f t="shared" ca="1" si="3"/>
        <v>6.0729563163086538E-2</v>
      </c>
      <c r="H18" s="1">
        <f t="shared" ca="1" si="5"/>
        <v>100.80161496744233</v>
      </c>
      <c r="I18" s="4">
        <f t="shared" ca="1" si="6"/>
        <v>0.2196734460108912</v>
      </c>
      <c r="J18" s="4">
        <f t="shared" ca="1" si="4"/>
        <v>0.14020150458698841</v>
      </c>
      <c r="K18" s="10">
        <f t="shared" ca="1" si="0"/>
        <v>3.9391561833357187</v>
      </c>
      <c r="R18" s="9"/>
    </row>
    <row r="19" spans="1:18" s="1" customFormat="1" x14ac:dyDescent="0.2">
      <c r="A19"/>
      <c r="E19" s="1">
        <f t="shared" si="1"/>
        <v>0.89473684210526283</v>
      </c>
      <c r="F19" s="1">
        <f t="shared" si="2"/>
        <v>0.10526315789473739</v>
      </c>
      <c r="G19" s="1">
        <f t="shared" ca="1" si="3"/>
        <v>-0.37715150190661229</v>
      </c>
      <c r="H19" s="1">
        <f t="shared" ca="1" si="5"/>
        <v>97.788074120549638</v>
      </c>
      <c r="I19" s="4">
        <f t="shared" ca="1" si="6"/>
        <v>-0.24737436500200277</v>
      </c>
      <c r="J19" s="4">
        <f t="shared" ca="1" si="4"/>
        <v>-0.31226293345430794</v>
      </c>
      <c r="K19" s="10">
        <f t="shared" ca="1" si="0"/>
        <v>1.7575916994195495</v>
      </c>
      <c r="R19" s="9"/>
    </row>
    <row r="20" spans="1:18" s="1" customFormat="1" x14ac:dyDescent="0.2">
      <c r="A20"/>
      <c r="E20" s="1">
        <f t="shared" si="1"/>
        <v>0.94736842105263119</v>
      </c>
      <c r="F20" s="1">
        <f t="shared" si="2"/>
        <v>5.2631578947368973E-2</v>
      </c>
      <c r="G20" s="1">
        <f t="shared" ca="1" si="3"/>
        <v>1.1993488731349602</v>
      </c>
      <c r="H20" s="1">
        <f t="shared" ca="1" si="5"/>
        <v>105.76849729466377</v>
      </c>
      <c r="I20" s="4">
        <f t="shared" ca="1" si="6"/>
        <v>1.2911151666831844</v>
      </c>
      <c r="J20" s="4">
        <f t="shared" ca="1" si="4"/>
        <v>1.2452320199090718</v>
      </c>
      <c r="K20" s="10">
        <f t="shared" ca="1" si="0"/>
        <v>6.2083091678259308</v>
      </c>
      <c r="R20" s="9"/>
    </row>
    <row r="21" spans="1:18" s="1" customFormat="1" x14ac:dyDescent="0.2">
      <c r="A21"/>
      <c r="E21" s="1">
        <v>1</v>
      </c>
      <c r="F21" s="8">
        <f>C8</f>
        <v>9.9999999999999995E-7</v>
      </c>
      <c r="G21" s="1">
        <f t="shared" ca="1" si="3"/>
        <v>0.54393442949730975</v>
      </c>
      <c r="H21" s="1">
        <f t="shared" ca="1" si="5"/>
        <v>100.01088128055832</v>
      </c>
      <c r="I21" s="4">
        <f t="shared" ca="1" si="6"/>
        <v>0.54433442949686017</v>
      </c>
      <c r="J21" s="4">
        <f t="shared" ca="1" si="4"/>
        <v>0.54413442949686019</v>
      </c>
      <c r="K21" s="10">
        <f t="shared" ca="1" si="0"/>
        <v>1.4575289919307011E-2</v>
      </c>
      <c r="R21" s="9"/>
    </row>
    <row r="22" spans="1:18" x14ac:dyDescent="0.2">
      <c r="R22" s="11"/>
    </row>
    <row r="23" spans="1:18" x14ac:dyDescent="0.2">
      <c r="R23" s="11"/>
    </row>
    <row r="24" spans="1:18" x14ac:dyDescent="0.2">
      <c r="R24" s="11"/>
    </row>
    <row r="25" spans="1:18" x14ac:dyDescent="0.2">
      <c r="R25" s="11"/>
    </row>
    <row r="26" spans="1:18" x14ac:dyDescent="0.2">
      <c r="R26" s="11"/>
    </row>
    <row r="27" spans="1:18" x14ac:dyDescent="0.2">
      <c r="R27" s="11"/>
    </row>
    <row r="28" spans="1:18" x14ac:dyDescent="0.2">
      <c r="R28" s="11"/>
    </row>
    <row r="29" spans="1:18" x14ac:dyDescent="0.2">
      <c r="R29" s="11"/>
    </row>
    <row r="30" spans="1:18" x14ac:dyDescent="0.2">
      <c r="R30" s="11"/>
    </row>
    <row r="31" spans="1:18" x14ac:dyDescent="0.2">
      <c r="R31" s="11"/>
    </row>
    <row r="32" spans="1:18" x14ac:dyDescent="0.2">
      <c r="R32" s="11"/>
    </row>
    <row r="33" spans="18:18" x14ac:dyDescent="0.2">
      <c r="R33" s="11"/>
    </row>
    <row r="34" spans="18:18" x14ac:dyDescent="0.2">
      <c r="R34" s="11"/>
    </row>
    <row r="35" spans="18:18" x14ac:dyDescent="0.2">
      <c r="R35" s="11"/>
    </row>
    <row r="36" spans="18:18" x14ac:dyDescent="0.2">
      <c r="R36" s="11"/>
    </row>
    <row r="37" spans="18:18" x14ac:dyDescent="0.2">
      <c r="R37" s="11"/>
    </row>
    <row r="38" spans="18:18" x14ac:dyDescent="0.2">
      <c r="R38" s="11"/>
    </row>
    <row r="39" spans="18:18" x14ac:dyDescent="0.2">
      <c r="R39" s="11"/>
    </row>
    <row r="40" spans="18:18" x14ac:dyDescent="0.2">
      <c r="R40" s="11"/>
    </row>
    <row r="41" spans="18:18" x14ac:dyDescent="0.2">
      <c r="R41" s="11"/>
    </row>
    <row r="42" spans="18:18" x14ac:dyDescent="0.2">
      <c r="R42" s="11"/>
    </row>
    <row r="43" spans="18:18" x14ac:dyDescent="0.2">
      <c r="R43" s="11"/>
    </row>
    <row r="44" spans="18:18" x14ac:dyDescent="0.2">
      <c r="R44" s="11"/>
    </row>
    <row r="45" spans="18:18" x14ac:dyDescent="0.2">
      <c r="R45" s="11"/>
    </row>
    <row r="46" spans="18:18" x14ac:dyDescent="0.2">
      <c r="R46" s="11"/>
    </row>
    <row r="47" spans="18:18" x14ac:dyDescent="0.2">
      <c r="R47" s="11"/>
    </row>
    <row r="48" spans="18:18" x14ac:dyDescent="0.2">
      <c r="R48" s="11"/>
    </row>
    <row r="49" spans="18:18" x14ac:dyDescent="0.2">
      <c r="R49" s="11"/>
    </row>
    <row r="50" spans="18:18" x14ac:dyDescent="0.2">
      <c r="R50" s="11"/>
    </row>
    <row r="51" spans="18:18" x14ac:dyDescent="0.2">
      <c r="R51" s="11"/>
    </row>
    <row r="52" spans="18:18" x14ac:dyDescent="0.2">
      <c r="R52" s="11"/>
    </row>
    <row r="53" spans="18:18" x14ac:dyDescent="0.2">
      <c r="R53" s="11"/>
    </row>
    <row r="54" spans="18:18" x14ac:dyDescent="0.2">
      <c r="R54" s="11"/>
    </row>
    <row r="55" spans="18:18" x14ac:dyDescent="0.2">
      <c r="R55" s="11"/>
    </row>
    <row r="56" spans="18:18" x14ac:dyDescent="0.2">
      <c r="R56" s="11"/>
    </row>
    <row r="57" spans="18:18" x14ac:dyDescent="0.2">
      <c r="R57" s="11"/>
    </row>
    <row r="58" spans="18:18" x14ac:dyDescent="0.2">
      <c r="R58" s="11"/>
    </row>
    <row r="59" spans="18:18" x14ac:dyDescent="0.2">
      <c r="R59" s="11"/>
    </row>
    <row r="60" spans="18:18" x14ac:dyDescent="0.2">
      <c r="R60" s="11"/>
    </row>
    <row r="61" spans="18:18" x14ac:dyDescent="0.2">
      <c r="R61" s="11"/>
    </row>
    <row r="62" spans="18:18" x14ac:dyDescent="0.2">
      <c r="R62" s="11"/>
    </row>
    <row r="63" spans="18:18" x14ac:dyDescent="0.2">
      <c r="R63" s="11"/>
    </row>
    <row r="64" spans="18:18" x14ac:dyDescent="0.2">
      <c r="R64" s="11"/>
    </row>
    <row r="65" spans="18:18" x14ac:dyDescent="0.2">
      <c r="R65" s="11"/>
    </row>
    <row r="66" spans="18:18" x14ac:dyDescent="0.2">
      <c r="R66" s="11"/>
    </row>
    <row r="67" spans="18:18" x14ac:dyDescent="0.2">
      <c r="R67" s="11"/>
    </row>
    <row r="68" spans="18:18" x14ac:dyDescent="0.2">
      <c r="R68" s="11"/>
    </row>
    <row r="69" spans="18:18" x14ac:dyDescent="0.2">
      <c r="R69" s="11"/>
    </row>
    <row r="70" spans="18:18" x14ac:dyDescent="0.2">
      <c r="R70" s="11"/>
    </row>
    <row r="71" spans="18:18" x14ac:dyDescent="0.2">
      <c r="R71" s="11"/>
    </row>
    <row r="72" spans="18:18" x14ac:dyDescent="0.2">
      <c r="R72" s="11"/>
    </row>
    <row r="73" spans="18:18" x14ac:dyDescent="0.2">
      <c r="R73" s="11"/>
    </row>
    <row r="74" spans="18:18" x14ac:dyDescent="0.2">
      <c r="R74" s="11"/>
    </row>
    <row r="75" spans="18:18" x14ac:dyDescent="0.2">
      <c r="R75" s="11"/>
    </row>
    <row r="76" spans="18:18" x14ac:dyDescent="0.2">
      <c r="R76" s="11"/>
    </row>
    <row r="77" spans="18:18" x14ac:dyDescent="0.2">
      <c r="R77" s="11"/>
    </row>
    <row r="78" spans="18:18" x14ac:dyDescent="0.2">
      <c r="R78" s="11"/>
    </row>
    <row r="79" spans="18:18" x14ac:dyDescent="0.2">
      <c r="R79" s="11"/>
    </row>
    <row r="80" spans="18:18" x14ac:dyDescent="0.2">
      <c r="R80" s="11"/>
    </row>
    <row r="81" spans="18:18" x14ac:dyDescent="0.2">
      <c r="R81" s="11"/>
    </row>
    <row r="82" spans="18:18" x14ac:dyDescent="0.2">
      <c r="R82" s="11"/>
    </row>
    <row r="83" spans="18:18" x14ac:dyDescent="0.2">
      <c r="R83" s="11"/>
    </row>
    <row r="84" spans="18:18" x14ac:dyDescent="0.2">
      <c r="R84" s="11"/>
    </row>
    <row r="85" spans="18:18" x14ac:dyDescent="0.2">
      <c r="R85" s="11"/>
    </row>
    <row r="86" spans="18:18" x14ac:dyDescent="0.2">
      <c r="R86" s="11"/>
    </row>
    <row r="87" spans="18:18" x14ac:dyDescent="0.2">
      <c r="R87" s="11"/>
    </row>
    <row r="88" spans="18:18" x14ac:dyDescent="0.2">
      <c r="R88" s="11"/>
    </row>
    <row r="89" spans="18:18" x14ac:dyDescent="0.2">
      <c r="R89" s="11"/>
    </row>
    <row r="90" spans="18:18" x14ac:dyDescent="0.2">
      <c r="R90" s="11"/>
    </row>
    <row r="91" spans="18:18" x14ac:dyDescent="0.2">
      <c r="R91" s="11"/>
    </row>
    <row r="92" spans="18:18" x14ac:dyDescent="0.2">
      <c r="R92" s="11"/>
    </row>
    <row r="93" spans="18:18" x14ac:dyDescent="0.2">
      <c r="R93" s="11"/>
    </row>
    <row r="94" spans="18:18" x14ac:dyDescent="0.2">
      <c r="R94" s="11"/>
    </row>
    <row r="95" spans="18:18" x14ac:dyDescent="0.2">
      <c r="R95" s="11"/>
    </row>
    <row r="96" spans="18:18" x14ac:dyDescent="0.2">
      <c r="R96" s="11"/>
    </row>
    <row r="97" spans="18:18" x14ac:dyDescent="0.2">
      <c r="R97" s="11"/>
    </row>
    <row r="98" spans="18:18" x14ac:dyDescent="0.2">
      <c r="R98" s="11"/>
    </row>
    <row r="99" spans="18:18" x14ac:dyDescent="0.2">
      <c r="R99" s="11"/>
    </row>
    <row r="100" spans="18:18" x14ac:dyDescent="0.2">
      <c r="R100" s="11"/>
    </row>
    <row r="101" spans="18:18" x14ac:dyDescent="0.2">
      <c r="R101" s="11"/>
    </row>
    <row r="102" spans="18:18" x14ac:dyDescent="0.2">
      <c r="R102" s="11"/>
    </row>
    <row r="103" spans="18:18" x14ac:dyDescent="0.2">
      <c r="R103" s="11"/>
    </row>
    <row r="104" spans="18:18" x14ac:dyDescent="0.2">
      <c r="R104" s="11"/>
    </row>
    <row r="105" spans="18:18" x14ac:dyDescent="0.2">
      <c r="R105" s="11"/>
    </row>
    <row r="106" spans="18:18" x14ac:dyDescent="0.2">
      <c r="R106" s="11"/>
    </row>
    <row r="107" spans="18:18" x14ac:dyDescent="0.2">
      <c r="R107" s="11"/>
    </row>
    <row r="108" spans="18:18" x14ac:dyDescent="0.2">
      <c r="R108" s="11"/>
    </row>
    <row r="109" spans="18:18" x14ac:dyDescent="0.2">
      <c r="R109" s="11"/>
    </row>
    <row r="110" spans="18:18" x14ac:dyDescent="0.2">
      <c r="R110" s="11"/>
    </row>
    <row r="111" spans="18:18" x14ac:dyDescent="0.2">
      <c r="R111" s="11"/>
    </row>
    <row r="112" spans="18:18" x14ac:dyDescent="0.2">
      <c r="R112" s="11"/>
    </row>
    <row r="113" spans="18:18" x14ac:dyDescent="0.2">
      <c r="R113" s="11"/>
    </row>
    <row r="114" spans="18:18" x14ac:dyDescent="0.2">
      <c r="R114" s="11"/>
    </row>
    <row r="115" spans="18:18" x14ac:dyDescent="0.2">
      <c r="R115" s="11"/>
    </row>
    <row r="116" spans="18:18" x14ac:dyDescent="0.2">
      <c r="R116" s="11"/>
    </row>
    <row r="117" spans="18:18" x14ac:dyDescent="0.2">
      <c r="R117" s="11"/>
    </row>
    <row r="118" spans="18:18" x14ac:dyDescent="0.2">
      <c r="R118" s="11"/>
    </row>
    <row r="119" spans="18:18" x14ac:dyDescent="0.2">
      <c r="R119" s="11"/>
    </row>
    <row r="120" spans="18:18" x14ac:dyDescent="0.2">
      <c r="R120" s="11"/>
    </row>
    <row r="121" spans="18:18" x14ac:dyDescent="0.2">
      <c r="R121" s="11"/>
    </row>
    <row r="122" spans="18:18" x14ac:dyDescent="0.2">
      <c r="R122" s="11"/>
    </row>
    <row r="123" spans="18:18" x14ac:dyDescent="0.2">
      <c r="R123" s="11"/>
    </row>
    <row r="124" spans="18:18" x14ac:dyDescent="0.2">
      <c r="R124" s="11"/>
    </row>
    <row r="125" spans="18:18" x14ac:dyDescent="0.2">
      <c r="R125" s="11"/>
    </row>
    <row r="126" spans="18:18" x14ac:dyDescent="0.2">
      <c r="R126" s="11"/>
    </row>
    <row r="127" spans="18:18" x14ac:dyDescent="0.2">
      <c r="R127" s="11"/>
    </row>
    <row r="128" spans="18:18" x14ac:dyDescent="0.2">
      <c r="R128" s="11"/>
    </row>
    <row r="129" spans="18:18" x14ac:dyDescent="0.2">
      <c r="R129" s="11"/>
    </row>
    <row r="130" spans="18:18" x14ac:dyDescent="0.2">
      <c r="R130" s="11"/>
    </row>
    <row r="131" spans="18:18" x14ac:dyDescent="0.2">
      <c r="R131" s="11"/>
    </row>
    <row r="132" spans="18:18" x14ac:dyDescent="0.2">
      <c r="R132" s="11"/>
    </row>
    <row r="133" spans="18:18" x14ac:dyDescent="0.2">
      <c r="R133" s="11"/>
    </row>
    <row r="134" spans="18:18" x14ac:dyDescent="0.2">
      <c r="R134" s="11"/>
    </row>
    <row r="135" spans="18:18" x14ac:dyDescent="0.2">
      <c r="R135" s="11"/>
    </row>
    <row r="136" spans="18:18" x14ac:dyDescent="0.2">
      <c r="R136" s="11"/>
    </row>
    <row r="137" spans="18:18" x14ac:dyDescent="0.2">
      <c r="R137" s="11"/>
    </row>
    <row r="138" spans="18:18" x14ac:dyDescent="0.2">
      <c r="R138" s="11"/>
    </row>
    <row r="139" spans="18:18" x14ac:dyDescent="0.2">
      <c r="R139" s="11"/>
    </row>
    <row r="140" spans="18:18" x14ac:dyDescent="0.2">
      <c r="R140" s="11"/>
    </row>
    <row r="141" spans="18:18" x14ac:dyDescent="0.2">
      <c r="R141" s="11"/>
    </row>
    <row r="142" spans="18:18" x14ac:dyDescent="0.2">
      <c r="R142" s="11"/>
    </row>
    <row r="143" spans="18:18" x14ac:dyDescent="0.2">
      <c r="R143" s="11"/>
    </row>
    <row r="144" spans="18:18" x14ac:dyDescent="0.2">
      <c r="R144" s="11"/>
    </row>
    <row r="145" spans="18:18" x14ac:dyDescent="0.2">
      <c r="R145" s="11"/>
    </row>
    <row r="146" spans="18:18" x14ac:dyDescent="0.2">
      <c r="R146" s="11"/>
    </row>
    <row r="147" spans="18:18" x14ac:dyDescent="0.2">
      <c r="R147" s="11"/>
    </row>
    <row r="148" spans="18:18" x14ac:dyDescent="0.2">
      <c r="R148" s="11"/>
    </row>
    <row r="149" spans="18:18" x14ac:dyDescent="0.2">
      <c r="R149" s="11"/>
    </row>
    <row r="150" spans="18:18" x14ac:dyDescent="0.2">
      <c r="R150" s="11"/>
    </row>
    <row r="151" spans="18:18" x14ac:dyDescent="0.2">
      <c r="R151" s="11"/>
    </row>
    <row r="152" spans="18:18" x14ac:dyDescent="0.2">
      <c r="R152" s="11"/>
    </row>
    <row r="153" spans="18:18" x14ac:dyDescent="0.2">
      <c r="R153" s="11"/>
    </row>
    <row r="154" spans="18:18" x14ac:dyDescent="0.2">
      <c r="R154" s="11"/>
    </row>
    <row r="155" spans="18:18" x14ac:dyDescent="0.2">
      <c r="R155" s="11"/>
    </row>
    <row r="156" spans="18:18" x14ac:dyDescent="0.2">
      <c r="R156" s="11"/>
    </row>
    <row r="157" spans="18:18" x14ac:dyDescent="0.2">
      <c r="R157" s="11"/>
    </row>
    <row r="158" spans="18:18" x14ac:dyDescent="0.2">
      <c r="R158" s="11"/>
    </row>
    <row r="159" spans="18:18" x14ac:dyDescent="0.2">
      <c r="R159" s="11"/>
    </row>
    <row r="160" spans="18:18" x14ac:dyDescent="0.2">
      <c r="R160" s="11"/>
    </row>
    <row r="161" spans="18:18" x14ac:dyDescent="0.2">
      <c r="R161" s="11"/>
    </row>
    <row r="162" spans="18:18" x14ac:dyDescent="0.2">
      <c r="R162" s="11"/>
    </row>
    <row r="163" spans="18:18" x14ac:dyDescent="0.2">
      <c r="R163" s="11"/>
    </row>
    <row r="164" spans="18:18" x14ac:dyDescent="0.2">
      <c r="R164" s="11"/>
    </row>
    <row r="165" spans="18:18" x14ac:dyDescent="0.2">
      <c r="R165" s="11"/>
    </row>
    <row r="166" spans="18:18" x14ac:dyDescent="0.2">
      <c r="R166" s="11"/>
    </row>
    <row r="167" spans="18:18" x14ac:dyDescent="0.2">
      <c r="R167" s="11"/>
    </row>
    <row r="168" spans="18:18" x14ac:dyDescent="0.2">
      <c r="R168" s="11"/>
    </row>
    <row r="169" spans="18:18" x14ac:dyDescent="0.2">
      <c r="R169" s="11"/>
    </row>
    <row r="170" spans="18:18" x14ac:dyDescent="0.2">
      <c r="R170" s="11"/>
    </row>
    <row r="171" spans="18:18" x14ac:dyDescent="0.2">
      <c r="R171" s="11"/>
    </row>
    <row r="172" spans="18:18" x14ac:dyDescent="0.2">
      <c r="R172" s="11"/>
    </row>
    <row r="173" spans="18:18" x14ac:dyDescent="0.2">
      <c r="R173" s="11"/>
    </row>
    <row r="174" spans="18:18" x14ac:dyDescent="0.2">
      <c r="R174" s="11"/>
    </row>
    <row r="175" spans="18:18" x14ac:dyDescent="0.2">
      <c r="R175" s="11"/>
    </row>
    <row r="176" spans="18:18" x14ac:dyDescent="0.2">
      <c r="R176" s="11"/>
    </row>
    <row r="177" spans="18:18" x14ac:dyDescent="0.2">
      <c r="R177" s="11"/>
    </row>
    <row r="178" spans="18:18" x14ac:dyDescent="0.2">
      <c r="R178" s="11"/>
    </row>
    <row r="179" spans="18:18" x14ac:dyDescent="0.2">
      <c r="R179" s="11"/>
    </row>
    <row r="180" spans="18:18" x14ac:dyDescent="0.2">
      <c r="R180" s="11"/>
    </row>
    <row r="181" spans="18:18" x14ac:dyDescent="0.2">
      <c r="R181" s="11"/>
    </row>
    <row r="182" spans="18:18" x14ac:dyDescent="0.2">
      <c r="R182" s="11"/>
    </row>
    <row r="183" spans="18:18" x14ac:dyDescent="0.2">
      <c r="R183" s="11"/>
    </row>
    <row r="184" spans="18:18" x14ac:dyDescent="0.2">
      <c r="R184" s="11"/>
    </row>
    <row r="185" spans="18:18" x14ac:dyDescent="0.2">
      <c r="R185" s="11"/>
    </row>
    <row r="186" spans="18:18" x14ac:dyDescent="0.2">
      <c r="R186" s="11"/>
    </row>
    <row r="187" spans="18:18" x14ac:dyDescent="0.2">
      <c r="R187" s="11"/>
    </row>
    <row r="188" spans="18:18" x14ac:dyDescent="0.2">
      <c r="R188" s="11"/>
    </row>
    <row r="189" spans="18:18" x14ac:dyDescent="0.2">
      <c r="R189" s="11"/>
    </row>
    <row r="190" spans="18:18" x14ac:dyDescent="0.2">
      <c r="R190" s="11"/>
    </row>
    <row r="191" spans="18:18" x14ac:dyDescent="0.2">
      <c r="R191" s="11"/>
    </row>
    <row r="192" spans="18:18" x14ac:dyDescent="0.2">
      <c r="R192" s="11"/>
    </row>
    <row r="193" spans="18:18" x14ac:dyDescent="0.2">
      <c r="R193" s="11"/>
    </row>
    <row r="194" spans="18:18" x14ac:dyDescent="0.2">
      <c r="R194" s="11"/>
    </row>
    <row r="195" spans="18:18" x14ac:dyDescent="0.2">
      <c r="R195" s="11"/>
    </row>
    <row r="196" spans="18:18" x14ac:dyDescent="0.2">
      <c r="R196" s="11"/>
    </row>
    <row r="197" spans="18:18" x14ac:dyDescent="0.2">
      <c r="R197" s="11"/>
    </row>
    <row r="198" spans="18:18" x14ac:dyDescent="0.2">
      <c r="R198" s="11"/>
    </row>
    <row r="199" spans="18:18" x14ac:dyDescent="0.2">
      <c r="R199" s="11"/>
    </row>
    <row r="200" spans="18:18" x14ac:dyDescent="0.2">
      <c r="R200" s="11"/>
    </row>
    <row r="201" spans="18:18" x14ac:dyDescent="0.2">
      <c r="R201" s="11"/>
    </row>
    <row r="202" spans="18:18" x14ac:dyDescent="0.2">
      <c r="R202" s="11"/>
    </row>
    <row r="203" spans="18:18" x14ac:dyDescent="0.2">
      <c r="R203" s="11"/>
    </row>
    <row r="204" spans="18:18" x14ac:dyDescent="0.2">
      <c r="R204" s="11"/>
    </row>
    <row r="205" spans="18:18" x14ac:dyDescent="0.2">
      <c r="R205" s="11"/>
    </row>
    <row r="206" spans="18:18" x14ac:dyDescent="0.2">
      <c r="R206" s="11"/>
    </row>
    <row r="207" spans="18:18" x14ac:dyDescent="0.2">
      <c r="R207" s="11"/>
    </row>
    <row r="208" spans="18:18" x14ac:dyDescent="0.2">
      <c r="R208" s="11"/>
    </row>
    <row r="209" spans="18:18" x14ac:dyDescent="0.2">
      <c r="R209" s="11"/>
    </row>
    <row r="210" spans="18:18" x14ac:dyDescent="0.2">
      <c r="R210" s="11"/>
    </row>
    <row r="211" spans="18:18" x14ac:dyDescent="0.2">
      <c r="R211" s="11"/>
    </row>
    <row r="212" spans="18:18" x14ac:dyDescent="0.2">
      <c r="R212" s="11"/>
    </row>
    <row r="213" spans="18:18" x14ac:dyDescent="0.2">
      <c r="R213" s="11"/>
    </row>
    <row r="214" spans="18:18" x14ac:dyDescent="0.2">
      <c r="R214" s="11"/>
    </row>
    <row r="215" spans="18:18" x14ac:dyDescent="0.2">
      <c r="R215" s="11"/>
    </row>
    <row r="216" spans="18:18" x14ac:dyDescent="0.2">
      <c r="R216" s="11"/>
    </row>
    <row r="217" spans="18:18" x14ac:dyDescent="0.2">
      <c r="R217" s="11"/>
    </row>
    <row r="218" spans="18:18" x14ac:dyDescent="0.2">
      <c r="R218" s="11"/>
    </row>
    <row r="219" spans="18:18" x14ac:dyDescent="0.2">
      <c r="R219" s="11"/>
    </row>
    <row r="220" spans="18:18" x14ac:dyDescent="0.2">
      <c r="R220" s="11"/>
    </row>
    <row r="221" spans="18:18" x14ac:dyDescent="0.2">
      <c r="R221" s="11"/>
    </row>
    <row r="222" spans="18:18" x14ac:dyDescent="0.2">
      <c r="R222" s="11"/>
    </row>
    <row r="223" spans="18:18" x14ac:dyDescent="0.2">
      <c r="R223" s="11"/>
    </row>
    <row r="224" spans="18:18" x14ac:dyDescent="0.2">
      <c r="R224" s="11"/>
    </row>
    <row r="225" spans="18:18" x14ac:dyDescent="0.2">
      <c r="R225" s="11"/>
    </row>
    <row r="226" spans="18:18" x14ac:dyDescent="0.2">
      <c r="R226" s="11"/>
    </row>
    <row r="227" spans="18:18" x14ac:dyDescent="0.2">
      <c r="R227" s="11"/>
    </row>
    <row r="228" spans="18:18" x14ac:dyDescent="0.2">
      <c r="R228" s="11"/>
    </row>
    <row r="229" spans="18:18" x14ac:dyDescent="0.2">
      <c r="R229" s="11"/>
    </row>
    <row r="230" spans="18:18" x14ac:dyDescent="0.2">
      <c r="R230" s="11"/>
    </row>
    <row r="231" spans="18:18" x14ac:dyDescent="0.2">
      <c r="R231" s="11"/>
    </row>
    <row r="232" spans="18:18" x14ac:dyDescent="0.2">
      <c r="R232" s="11"/>
    </row>
    <row r="233" spans="18:18" x14ac:dyDescent="0.2">
      <c r="R233" s="11"/>
    </row>
    <row r="234" spans="18:18" x14ac:dyDescent="0.2">
      <c r="R234" s="11"/>
    </row>
    <row r="235" spans="18:18" x14ac:dyDescent="0.2">
      <c r="R235" s="11"/>
    </row>
    <row r="236" spans="18:18" x14ac:dyDescent="0.2">
      <c r="R236" s="11"/>
    </row>
    <row r="237" spans="18:18" x14ac:dyDescent="0.2">
      <c r="R237" s="11"/>
    </row>
    <row r="238" spans="18:18" x14ac:dyDescent="0.2">
      <c r="R238" s="11"/>
    </row>
    <row r="239" spans="18:18" x14ac:dyDescent="0.2">
      <c r="R239" s="11"/>
    </row>
    <row r="240" spans="18:18" x14ac:dyDescent="0.2">
      <c r="R240" s="11"/>
    </row>
    <row r="241" spans="18:18" x14ac:dyDescent="0.2">
      <c r="R241" s="11"/>
    </row>
    <row r="242" spans="18:18" x14ac:dyDescent="0.2">
      <c r="R242" s="11"/>
    </row>
    <row r="243" spans="18:18" x14ac:dyDescent="0.2">
      <c r="R243" s="11"/>
    </row>
    <row r="244" spans="18:18" x14ac:dyDescent="0.2">
      <c r="R244" s="11"/>
    </row>
    <row r="245" spans="18:18" x14ac:dyDescent="0.2">
      <c r="R245" s="11"/>
    </row>
    <row r="246" spans="18:18" x14ac:dyDescent="0.2">
      <c r="R246" s="11"/>
    </row>
    <row r="247" spans="18:18" x14ac:dyDescent="0.2">
      <c r="R247" s="11"/>
    </row>
    <row r="248" spans="18:18" x14ac:dyDescent="0.2">
      <c r="R248" s="11"/>
    </row>
    <row r="249" spans="18:18" x14ac:dyDescent="0.2">
      <c r="R249" s="11"/>
    </row>
    <row r="250" spans="18:18" x14ac:dyDescent="0.2">
      <c r="R250" s="11"/>
    </row>
    <row r="251" spans="18:18" x14ac:dyDescent="0.2">
      <c r="R251" s="11"/>
    </row>
    <row r="252" spans="18:18" x14ac:dyDescent="0.2">
      <c r="R252" s="11"/>
    </row>
    <row r="253" spans="18:18" x14ac:dyDescent="0.2">
      <c r="R253" s="11"/>
    </row>
    <row r="254" spans="18:18" x14ac:dyDescent="0.2">
      <c r="R254" s="11"/>
    </row>
    <row r="255" spans="18:18" x14ac:dyDescent="0.2">
      <c r="R255" s="11"/>
    </row>
    <row r="256" spans="18:18" x14ac:dyDescent="0.2">
      <c r="R256" s="11"/>
    </row>
    <row r="257" spans="18:18" x14ac:dyDescent="0.2">
      <c r="R257" s="11"/>
    </row>
    <row r="258" spans="18:18" x14ac:dyDescent="0.2">
      <c r="R258" s="11"/>
    </row>
    <row r="259" spans="18:18" x14ac:dyDescent="0.2">
      <c r="R259" s="11"/>
    </row>
    <row r="260" spans="18:18" x14ac:dyDescent="0.2">
      <c r="R260" s="11"/>
    </row>
    <row r="261" spans="18:18" x14ac:dyDescent="0.2">
      <c r="R261" s="11"/>
    </row>
    <row r="262" spans="18:18" x14ac:dyDescent="0.2">
      <c r="R262" s="11"/>
    </row>
    <row r="263" spans="18:18" x14ac:dyDescent="0.2">
      <c r="R263" s="11"/>
    </row>
    <row r="264" spans="18:18" x14ac:dyDescent="0.2">
      <c r="R264" s="11"/>
    </row>
    <row r="265" spans="18:18" x14ac:dyDescent="0.2">
      <c r="R265" s="11"/>
    </row>
    <row r="266" spans="18:18" x14ac:dyDescent="0.2">
      <c r="R266" s="11"/>
    </row>
    <row r="267" spans="18:18" x14ac:dyDescent="0.2">
      <c r="R267" s="11"/>
    </row>
    <row r="268" spans="18:18" x14ac:dyDescent="0.2">
      <c r="R268" s="11"/>
    </row>
    <row r="269" spans="18:18" x14ac:dyDescent="0.2">
      <c r="R269" s="11"/>
    </row>
    <row r="270" spans="18:18" x14ac:dyDescent="0.2">
      <c r="R270" s="11"/>
    </row>
    <row r="271" spans="18:18" x14ac:dyDescent="0.2">
      <c r="R271" s="11"/>
    </row>
    <row r="272" spans="18:18" x14ac:dyDescent="0.2">
      <c r="R272" s="11"/>
    </row>
    <row r="273" spans="18:18" x14ac:dyDescent="0.2">
      <c r="R273" s="11"/>
    </row>
    <row r="274" spans="18:18" x14ac:dyDescent="0.2">
      <c r="R274" s="11"/>
    </row>
    <row r="275" spans="18:18" x14ac:dyDescent="0.2">
      <c r="R275" s="11"/>
    </row>
    <row r="276" spans="18:18" x14ac:dyDescent="0.2">
      <c r="R276" s="11"/>
    </row>
    <row r="277" spans="18:18" x14ac:dyDescent="0.2">
      <c r="R277" s="11"/>
    </row>
    <row r="278" spans="18:18" x14ac:dyDescent="0.2">
      <c r="R278" s="11"/>
    </row>
    <row r="279" spans="18:18" x14ac:dyDescent="0.2">
      <c r="R279" s="11"/>
    </row>
    <row r="280" spans="18:18" x14ac:dyDescent="0.2">
      <c r="R280" s="11"/>
    </row>
    <row r="281" spans="18:18" x14ac:dyDescent="0.2">
      <c r="R281" s="11"/>
    </row>
    <row r="282" spans="18:18" x14ac:dyDescent="0.2">
      <c r="R282" s="11"/>
    </row>
    <row r="283" spans="18:18" x14ac:dyDescent="0.2">
      <c r="R283" s="11"/>
    </row>
    <row r="284" spans="18:18" x14ac:dyDescent="0.2">
      <c r="R284" s="11"/>
    </row>
    <row r="285" spans="18:18" x14ac:dyDescent="0.2">
      <c r="R285" s="11"/>
    </row>
    <row r="286" spans="18:18" x14ac:dyDescent="0.2">
      <c r="R286" s="11"/>
    </row>
    <row r="287" spans="18:18" x14ac:dyDescent="0.2">
      <c r="R287" s="11"/>
    </row>
    <row r="288" spans="18:18" x14ac:dyDescent="0.2">
      <c r="R288" s="11"/>
    </row>
    <row r="289" spans="18:18" x14ac:dyDescent="0.2">
      <c r="R289" s="11"/>
    </row>
    <row r="290" spans="18:18" x14ac:dyDescent="0.2">
      <c r="R290" s="11"/>
    </row>
    <row r="291" spans="18:18" x14ac:dyDescent="0.2">
      <c r="R291" s="11"/>
    </row>
    <row r="292" spans="18:18" x14ac:dyDescent="0.2">
      <c r="R292" s="11"/>
    </row>
    <row r="293" spans="18:18" x14ac:dyDescent="0.2">
      <c r="R293" s="11"/>
    </row>
    <row r="294" spans="18:18" x14ac:dyDescent="0.2">
      <c r="R294" s="11"/>
    </row>
    <row r="295" spans="18:18" x14ac:dyDescent="0.2">
      <c r="R295" s="11"/>
    </row>
    <row r="296" spans="18:18" x14ac:dyDescent="0.2">
      <c r="R296" s="11"/>
    </row>
    <row r="297" spans="18:18" x14ac:dyDescent="0.2">
      <c r="R297" s="11"/>
    </row>
    <row r="298" spans="18:18" x14ac:dyDescent="0.2">
      <c r="R298" s="11"/>
    </row>
    <row r="299" spans="18:18" x14ac:dyDescent="0.2">
      <c r="R299" s="11"/>
    </row>
    <row r="300" spans="18:18" x14ac:dyDescent="0.2">
      <c r="R300" s="11"/>
    </row>
    <row r="301" spans="18:18" x14ac:dyDescent="0.2">
      <c r="R301" s="11"/>
    </row>
    <row r="302" spans="18:18" x14ac:dyDescent="0.2">
      <c r="R302" s="11"/>
    </row>
    <row r="303" spans="18:18" x14ac:dyDescent="0.2">
      <c r="R303" s="11"/>
    </row>
    <row r="304" spans="18:18" x14ac:dyDescent="0.2">
      <c r="R304" s="11"/>
    </row>
    <row r="305" spans="18:18" x14ac:dyDescent="0.2">
      <c r="R305" s="11"/>
    </row>
    <row r="306" spans="18:18" x14ac:dyDescent="0.2">
      <c r="R306" s="11"/>
    </row>
    <row r="307" spans="18:18" x14ac:dyDescent="0.2">
      <c r="R307" s="11"/>
    </row>
    <row r="308" spans="18:18" x14ac:dyDescent="0.2">
      <c r="R308" s="11"/>
    </row>
    <row r="309" spans="18:18" x14ac:dyDescent="0.2">
      <c r="R309" s="11"/>
    </row>
    <row r="310" spans="18:18" x14ac:dyDescent="0.2">
      <c r="R310" s="11"/>
    </row>
    <row r="311" spans="18:18" x14ac:dyDescent="0.2">
      <c r="R311" s="11"/>
    </row>
    <row r="312" spans="18:18" x14ac:dyDescent="0.2">
      <c r="R312" s="11"/>
    </row>
    <row r="313" spans="18:18" x14ac:dyDescent="0.2">
      <c r="R313" s="11"/>
    </row>
    <row r="314" spans="18:18" x14ac:dyDescent="0.2">
      <c r="R314" s="11"/>
    </row>
    <row r="315" spans="18:18" x14ac:dyDescent="0.2">
      <c r="R315" s="11"/>
    </row>
    <row r="316" spans="18:18" x14ac:dyDescent="0.2">
      <c r="R316" s="11"/>
    </row>
    <row r="317" spans="18:18" x14ac:dyDescent="0.2">
      <c r="R317" s="11"/>
    </row>
    <row r="318" spans="18:18" x14ac:dyDescent="0.2">
      <c r="R318" s="11"/>
    </row>
    <row r="319" spans="18:18" x14ac:dyDescent="0.2">
      <c r="R319" s="11"/>
    </row>
    <row r="320" spans="18:18" x14ac:dyDescent="0.2">
      <c r="R320" s="11"/>
    </row>
    <row r="321" spans="18:18" x14ac:dyDescent="0.2">
      <c r="R321" s="11"/>
    </row>
    <row r="322" spans="18:18" x14ac:dyDescent="0.2">
      <c r="R322" s="11"/>
    </row>
    <row r="323" spans="18:18" x14ac:dyDescent="0.2">
      <c r="R323" s="11"/>
    </row>
    <row r="324" spans="18:18" x14ac:dyDescent="0.2">
      <c r="R324" s="11"/>
    </row>
    <row r="325" spans="18:18" x14ac:dyDescent="0.2">
      <c r="R325" s="11"/>
    </row>
    <row r="326" spans="18:18" x14ac:dyDescent="0.2">
      <c r="R326" s="11"/>
    </row>
    <row r="327" spans="18:18" x14ac:dyDescent="0.2">
      <c r="R327" s="11"/>
    </row>
    <row r="328" spans="18:18" x14ac:dyDescent="0.2">
      <c r="R328" s="11"/>
    </row>
    <row r="329" spans="18:18" x14ac:dyDescent="0.2">
      <c r="R329" s="11"/>
    </row>
    <row r="330" spans="18:18" x14ac:dyDescent="0.2">
      <c r="R330" s="11"/>
    </row>
    <row r="331" spans="18:18" x14ac:dyDescent="0.2">
      <c r="R331" s="11"/>
    </row>
    <row r="332" spans="18:18" x14ac:dyDescent="0.2">
      <c r="R332" s="11"/>
    </row>
    <row r="333" spans="18:18" x14ac:dyDescent="0.2">
      <c r="R333" s="11"/>
    </row>
    <row r="334" spans="18:18" x14ac:dyDescent="0.2">
      <c r="R334" s="11"/>
    </row>
    <row r="335" spans="18:18" x14ac:dyDescent="0.2">
      <c r="R335" s="11"/>
    </row>
    <row r="336" spans="18:18" x14ac:dyDescent="0.2">
      <c r="R336" s="11"/>
    </row>
    <row r="337" spans="18:18" x14ac:dyDescent="0.2">
      <c r="R337" s="11"/>
    </row>
    <row r="338" spans="18:18" x14ac:dyDescent="0.2">
      <c r="R338" s="11"/>
    </row>
    <row r="339" spans="18:18" x14ac:dyDescent="0.2">
      <c r="R339" s="11"/>
    </row>
    <row r="340" spans="18:18" x14ac:dyDescent="0.2">
      <c r="R340" s="11"/>
    </row>
    <row r="341" spans="18:18" x14ac:dyDescent="0.2">
      <c r="R341" s="11"/>
    </row>
    <row r="342" spans="18:18" x14ac:dyDescent="0.2">
      <c r="R342" s="11"/>
    </row>
    <row r="343" spans="18:18" x14ac:dyDescent="0.2">
      <c r="R343" s="11"/>
    </row>
    <row r="344" spans="18:18" x14ac:dyDescent="0.2">
      <c r="R344" s="11"/>
    </row>
    <row r="345" spans="18:18" x14ac:dyDescent="0.2">
      <c r="R345" s="11"/>
    </row>
    <row r="346" spans="18:18" x14ac:dyDescent="0.2">
      <c r="R346" s="11"/>
    </row>
    <row r="347" spans="18:18" x14ac:dyDescent="0.2">
      <c r="R347" s="11"/>
    </row>
    <row r="348" spans="18:18" x14ac:dyDescent="0.2">
      <c r="R348" s="11"/>
    </row>
    <row r="349" spans="18:18" x14ac:dyDescent="0.2">
      <c r="R349" s="11"/>
    </row>
    <row r="350" spans="18:18" x14ac:dyDescent="0.2">
      <c r="R350" s="11"/>
    </row>
    <row r="351" spans="18:18" x14ac:dyDescent="0.2">
      <c r="R351" s="11"/>
    </row>
    <row r="352" spans="18:18" x14ac:dyDescent="0.2">
      <c r="R352" s="11"/>
    </row>
    <row r="353" spans="18:18" x14ac:dyDescent="0.2">
      <c r="R353" s="11"/>
    </row>
    <row r="354" spans="18:18" x14ac:dyDescent="0.2">
      <c r="R354" s="11"/>
    </row>
    <row r="355" spans="18:18" x14ac:dyDescent="0.2">
      <c r="R355" s="11"/>
    </row>
    <row r="356" spans="18:18" x14ac:dyDescent="0.2">
      <c r="R356" s="11"/>
    </row>
    <row r="357" spans="18:18" x14ac:dyDescent="0.2">
      <c r="R357" s="11"/>
    </row>
    <row r="358" spans="18:18" x14ac:dyDescent="0.2">
      <c r="R358" s="11"/>
    </row>
    <row r="359" spans="18:18" x14ac:dyDescent="0.2">
      <c r="R359" s="11"/>
    </row>
    <row r="360" spans="18:18" x14ac:dyDescent="0.2">
      <c r="R360" s="11"/>
    </row>
    <row r="361" spans="18:18" x14ac:dyDescent="0.2">
      <c r="R361" s="11"/>
    </row>
    <row r="362" spans="18:18" x14ac:dyDescent="0.2">
      <c r="R362" s="11"/>
    </row>
    <row r="363" spans="18:18" x14ac:dyDescent="0.2">
      <c r="R363" s="11"/>
    </row>
    <row r="364" spans="18:18" x14ac:dyDescent="0.2">
      <c r="R364" s="11"/>
    </row>
    <row r="365" spans="18:18" x14ac:dyDescent="0.2">
      <c r="R365" s="11"/>
    </row>
    <row r="366" spans="18:18" x14ac:dyDescent="0.2">
      <c r="R366" s="11"/>
    </row>
    <row r="367" spans="18:18" x14ac:dyDescent="0.2">
      <c r="R367" s="11"/>
    </row>
    <row r="368" spans="18:18" x14ac:dyDescent="0.2">
      <c r="R368" s="11"/>
    </row>
    <row r="369" spans="18:18" x14ac:dyDescent="0.2">
      <c r="R369" s="11"/>
    </row>
    <row r="370" spans="18:18" x14ac:dyDescent="0.2">
      <c r="R370" s="11"/>
    </row>
    <row r="371" spans="18:18" x14ac:dyDescent="0.2">
      <c r="R371" s="11"/>
    </row>
    <row r="372" spans="18:18" x14ac:dyDescent="0.2">
      <c r="R372" s="11"/>
    </row>
    <row r="373" spans="18:18" x14ac:dyDescent="0.2">
      <c r="R373" s="11"/>
    </row>
    <row r="374" spans="18:18" x14ac:dyDescent="0.2">
      <c r="R374" s="11"/>
    </row>
    <row r="375" spans="18:18" x14ac:dyDescent="0.2">
      <c r="R375" s="11"/>
    </row>
    <row r="376" spans="18:18" x14ac:dyDescent="0.2">
      <c r="R376" s="11"/>
    </row>
    <row r="377" spans="18:18" x14ac:dyDescent="0.2">
      <c r="R377" s="11"/>
    </row>
    <row r="378" spans="18:18" x14ac:dyDescent="0.2">
      <c r="R378" s="11"/>
    </row>
    <row r="379" spans="18:18" x14ac:dyDescent="0.2">
      <c r="R379" s="11"/>
    </row>
    <row r="380" spans="18:18" x14ac:dyDescent="0.2">
      <c r="R380" s="11"/>
    </row>
    <row r="381" spans="18:18" x14ac:dyDescent="0.2">
      <c r="R381" s="11"/>
    </row>
    <row r="382" spans="18:18" x14ac:dyDescent="0.2">
      <c r="R382" s="11"/>
    </row>
    <row r="383" spans="18:18" x14ac:dyDescent="0.2">
      <c r="R383" s="11"/>
    </row>
    <row r="384" spans="18:18" x14ac:dyDescent="0.2">
      <c r="R384" s="11"/>
    </row>
    <row r="385" spans="18:18" x14ac:dyDescent="0.2">
      <c r="R385" s="11"/>
    </row>
    <row r="386" spans="18:18" x14ac:dyDescent="0.2">
      <c r="R386" s="11"/>
    </row>
    <row r="387" spans="18:18" x14ac:dyDescent="0.2">
      <c r="R387" s="11"/>
    </row>
    <row r="388" spans="18:18" x14ac:dyDescent="0.2">
      <c r="R388" s="11"/>
    </row>
    <row r="389" spans="18:18" x14ac:dyDescent="0.2">
      <c r="R389" s="11"/>
    </row>
    <row r="390" spans="18:18" x14ac:dyDescent="0.2">
      <c r="R390" s="11"/>
    </row>
    <row r="391" spans="18:18" x14ac:dyDescent="0.2">
      <c r="R391" s="11"/>
    </row>
    <row r="392" spans="18:18" x14ac:dyDescent="0.2">
      <c r="R392" s="11"/>
    </row>
    <row r="393" spans="18:18" x14ac:dyDescent="0.2">
      <c r="R393" s="11"/>
    </row>
    <row r="394" spans="18:18" x14ac:dyDescent="0.2">
      <c r="R394" s="11"/>
    </row>
    <row r="395" spans="18:18" x14ac:dyDescent="0.2">
      <c r="R395" s="11"/>
    </row>
    <row r="396" spans="18:18" x14ac:dyDescent="0.2">
      <c r="R396" s="11"/>
    </row>
    <row r="397" spans="18:18" x14ac:dyDescent="0.2">
      <c r="R397" s="11"/>
    </row>
    <row r="398" spans="18:18" x14ac:dyDescent="0.2">
      <c r="R398" s="11"/>
    </row>
    <row r="399" spans="18:18" x14ac:dyDescent="0.2">
      <c r="R399" s="11"/>
    </row>
    <row r="400" spans="18:18" x14ac:dyDescent="0.2">
      <c r="R400" s="11"/>
    </row>
    <row r="401" spans="18:18" x14ac:dyDescent="0.2">
      <c r="R401" s="11"/>
    </row>
    <row r="402" spans="18:18" x14ac:dyDescent="0.2">
      <c r="R402" s="11"/>
    </row>
    <row r="403" spans="18:18" x14ac:dyDescent="0.2">
      <c r="R403" s="11"/>
    </row>
    <row r="404" spans="18:18" x14ac:dyDescent="0.2">
      <c r="R404" s="11"/>
    </row>
    <row r="405" spans="18:18" x14ac:dyDescent="0.2">
      <c r="R405" s="11"/>
    </row>
    <row r="406" spans="18:18" x14ac:dyDescent="0.2">
      <c r="R406" s="11"/>
    </row>
    <row r="407" spans="18:18" x14ac:dyDescent="0.2">
      <c r="R407" s="11"/>
    </row>
    <row r="408" spans="18:18" x14ac:dyDescent="0.2">
      <c r="R408" s="11"/>
    </row>
    <row r="409" spans="18:18" x14ac:dyDescent="0.2">
      <c r="R409" s="11"/>
    </row>
    <row r="410" spans="18:18" x14ac:dyDescent="0.2">
      <c r="R410" s="11"/>
    </row>
    <row r="411" spans="18:18" x14ac:dyDescent="0.2">
      <c r="R411" s="11"/>
    </row>
    <row r="412" spans="18:18" x14ac:dyDescent="0.2">
      <c r="R412" s="11"/>
    </row>
    <row r="413" spans="18:18" x14ac:dyDescent="0.2">
      <c r="R413" s="11"/>
    </row>
    <row r="414" spans="18:18" x14ac:dyDescent="0.2">
      <c r="R414" s="11"/>
    </row>
    <row r="415" spans="18:18" x14ac:dyDescent="0.2">
      <c r="R415" s="11"/>
    </row>
    <row r="416" spans="18:18" x14ac:dyDescent="0.2">
      <c r="R416" s="11"/>
    </row>
    <row r="417" spans="18:18" x14ac:dyDescent="0.2">
      <c r="R417" s="11"/>
    </row>
    <row r="418" spans="18:18" x14ac:dyDescent="0.2">
      <c r="R418" s="11"/>
    </row>
    <row r="419" spans="18:18" x14ac:dyDescent="0.2">
      <c r="R419" s="11"/>
    </row>
    <row r="420" spans="18:18" x14ac:dyDescent="0.2">
      <c r="R420" s="11"/>
    </row>
    <row r="421" spans="18:18" x14ac:dyDescent="0.2">
      <c r="R421" s="11"/>
    </row>
    <row r="422" spans="18:18" x14ac:dyDescent="0.2">
      <c r="R422" s="11"/>
    </row>
    <row r="423" spans="18:18" x14ac:dyDescent="0.2">
      <c r="R423" s="11"/>
    </row>
    <row r="424" spans="18:18" x14ac:dyDescent="0.2">
      <c r="R424" s="11"/>
    </row>
    <row r="425" spans="18:18" x14ac:dyDescent="0.2">
      <c r="R425" s="11"/>
    </row>
    <row r="426" spans="18:18" x14ac:dyDescent="0.2">
      <c r="R426" s="11"/>
    </row>
    <row r="427" spans="18:18" x14ac:dyDescent="0.2">
      <c r="R427" s="11"/>
    </row>
    <row r="428" spans="18:18" x14ac:dyDescent="0.2">
      <c r="R428" s="11"/>
    </row>
    <row r="429" spans="18:18" x14ac:dyDescent="0.2">
      <c r="R429" s="11"/>
    </row>
    <row r="430" spans="18:18" x14ac:dyDescent="0.2">
      <c r="R430" s="11"/>
    </row>
    <row r="431" spans="18:18" x14ac:dyDescent="0.2">
      <c r="R431" s="11"/>
    </row>
    <row r="432" spans="18:18" x14ac:dyDescent="0.2">
      <c r="R432" s="11"/>
    </row>
    <row r="433" spans="18:18" x14ac:dyDescent="0.2">
      <c r="R433" s="11"/>
    </row>
    <row r="434" spans="18:18" x14ac:dyDescent="0.2">
      <c r="R434" s="11"/>
    </row>
    <row r="435" spans="18:18" x14ac:dyDescent="0.2">
      <c r="R435" s="11"/>
    </row>
    <row r="436" spans="18:18" x14ac:dyDescent="0.2">
      <c r="R436" s="11"/>
    </row>
    <row r="437" spans="18:18" x14ac:dyDescent="0.2">
      <c r="R437" s="11"/>
    </row>
    <row r="438" spans="18:18" x14ac:dyDescent="0.2">
      <c r="R438" s="11"/>
    </row>
    <row r="439" spans="18:18" x14ac:dyDescent="0.2">
      <c r="R439" s="11"/>
    </row>
    <row r="440" spans="18:18" x14ac:dyDescent="0.2">
      <c r="R440" s="11"/>
    </row>
    <row r="441" spans="18:18" x14ac:dyDescent="0.2">
      <c r="R441" s="11"/>
    </row>
    <row r="442" spans="18:18" x14ac:dyDescent="0.2">
      <c r="R442" s="11"/>
    </row>
    <row r="443" spans="18:18" x14ac:dyDescent="0.2">
      <c r="R443" s="11"/>
    </row>
    <row r="444" spans="18:18" x14ac:dyDescent="0.2">
      <c r="R444" s="11"/>
    </row>
    <row r="445" spans="18:18" x14ac:dyDescent="0.2">
      <c r="R445" s="11"/>
    </row>
    <row r="446" spans="18:18" x14ac:dyDescent="0.2">
      <c r="R446" s="11"/>
    </row>
    <row r="447" spans="18:18" x14ac:dyDescent="0.2">
      <c r="R447" s="11"/>
    </row>
    <row r="448" spans="18:18" x14ac:dyDescent="0.2">
      <c r="R448" s="11"/>
    </row>
    <row r="449" spans="18:18" x14ac:dyDescent="0.2">
      <c r="R449" s="11"/>
    </row>
    <row r="450" spans="18:18" x14ac:dyDescent="0.2">
      <c r="R450" s="11"/>
    </row>
    <row r="451" spans="18:18" x14ac:dyDescent="0.2">
      <c r="R451" s="11"/>
    </row>
    <row r="452" spans="18:18" x14ac:dyDescent="0.2">
      <c r="R452" s="11"/>
    </row>
    <row r="453" spans="18:18" x14ac:dyDescent="0.2">
      <c r="R453" s="11"/>
    </row>
    <row r="454" spans="18:18" x14ac:dyDescent="0.2">
      <c r="R454" s="11"/>
    </row>
    <row r="455" spans="18:18" x14ac:dyDescent="0.2">
      <c r="R455" s="11"/>
    </row>
    <row r="456" spans="18:18" x14ac:dyDescent="0.2">
      <c r="R456" s="11"/>
    </row>
    <row r="457" spans="18:18" x14ac:dyDescent="0.2">
      <c r="R457" s="11"/>
    </row>
    <row r="458" spans="18:18" x14ac:dyDescent="0.2">
      <c r="R458" s="11"/>
    </row>
    <row r="459" spans="18:18" x14ac:dyDescent="0.2">
      <c r="R459" s="11"/>
    </row>
    <row r="460" spans="18:18" x14ac:dyDescent="0.2">
      <c r="R460" s="11"/>
    </row>
    <row r="461" spans="18:18" x14ac:dyDescent="0.2">
      <c r="R461" s="11"/>
    </row>
    <row r="462" spans="18:18" x14ac:dyDescent="0.2">
      <c r="R462" s="11"/>
    </row>
    <row r="463" spans="18:18" x14ac:dyDescent="0.2">
      <c r="R463" s="11"/>
    </row>
    <row r="464" spans="18:18" x14ac:dyDescent="0.2">
      <c r="R464" s="11"/>
    </row>
    <row r="465" spans="18:18" x14ac:dyDescent="0.2">
      <c r="R465" s="11"/>
    </row>
    <row r="466" spans="18:18" x14ac:dyDescent="0.2">
      <c r="R466" s="11"/>
    </row>
    <row r="467" spans="18:18" x14ac:dyDescent="0.2">
      <c r="R467" s="11"/>
    </row>
    <row r="468" spans="18:18" x14ac:dyDescent="0.2">
      <c r="R468" s="11"/>
    </row>
    <row r="469" spans="18:18" x14ac:dyDescent="0.2">
      <c r="R469" s="11"/>
    </row>
    <row r="470" spans="18:18" x14ac:dyDescent="0.2">
      <c r="R470" s="11"/>
    </row>
    <row r="471" spans="18:18" x14ac:dyDescent="0.2">
      <c r="R471" s="11"/>
    </row>
    <row r="472" spans="18:18" x14ac:dyDescent="0.2">
      <c r="R472" s="11"/>
    </row>
    <row r="473" spans="18:18" x14ac:dyDescent="0.2">
      <c r="R473" s="11"/>
    </row>
    <row r="474" spans="18:18" x14ac:dyDescent="0.2">
      <c r="R474" s="11"/>
    </row>
    <row r="475" spans="18:18" x14ac:dyDescent="0.2">
      <c r="R475" s="11"/>
    </row>
    <row r="476" spans="18:18" x14ac:dyDescent="0.2">
      <c r="R476" s="11"/>
    </row>
    <row r="477" spans="18:18" x14ac:dyDescent="0.2">
      <c r="R477" s="11"/>
    </row>
    <row r="478" spans="18:18" x14ac:dyDescent="0.2">
      <c r="R478" s="11"/>
    </row>
    <row r="479" spans="18:18" x14ac:dyDescent="0.2">
      <c r="R479" s="11"/>
    </row>
    <row r="480" spans="18:18" x14ac:dyDescent="0.2">
      <c r="R480" s="11"/>
    </row>
    <row r="481" spans="18:18" x14ac:dyDescent="0.2">
      <c r="R481" s="11"/>
    </row>
    <row r="482" spans="18:18" x14ac:dyDescent="0.2">
      <c r="R482" s="11"/>
    </row>
    <row r="483" spans="18:18" x14ac:dyDescent="0.2">
      <c r="R483" s="11"/>
    </row>
    <row r="484" spans="18:18" x14ac:dyDescent="0.2">
      <c r="R484" s="11"/>
    </row>
    <row r="485" spans="18:18" x14ac:dyDescent="0.2">
      <c r="R485" s="11"/>
    </row>
    <row r="486" spans="18:18" x14ac:dyDescent="0.2">
      <c r="R486" s="11"/>
    </row>
    <row r="487" spans="18:18" x14ac:dyDescent="0.2">
      <c r="R487" s="11"/>
    </row>
    <row r="488" spans="18:18" x14ac:dyDescent="0.2">
      <c r="R488" s="11"/>
    </row>
    <row r="489" spans="18:18" x14ac:dyDescent="0.2">
      <c r="R489" s="11"/>
    </row>
    <row r="490" spans="18:18" x14ac:dyDescent="0.2">
      <c r="R490" s="11"/>
    </row>
    <row r="491" spans="18:18" x14ac:dyDescent="0.2">
      <c r="R491" s="11"/>
    </row>
    <row r="492" spans="18:18" x14ac:dyDescent="0.2">
      <c r="R492" s="11"/>
    </row>
    <row r="493" spans="18:18" x14ac:dyDescent="0.2">
      <c r="R493" s="11"/>
    </row>
    <row r="494" spans="18:18" x14ac:dyDescent="0.2">
      <c r="R494" s="11"/>
    </row>
    <row r="495" spans="18:18" x14ac:dyDescent="0.2">
      <c r="R495" s="11"/>
    </row>
    <row r="496" spans="18:18" x14ac:dyDescent="0.2">
      <c r="R496" s="11"/>
    </row>
    <row r="497" spans="18:18" x14ac:dyDescent="0.2">
      <c r="R497" s="11"/>
    </row>
    <row r="498" spans="18:18" x14ac:dyDescent="0.2">
      <c r="R498" s="11"/>
    </row>
    <row r="499" spans="18:18" x14ac:dyDescent="0.2">
      <c r="R499" s="11"/>
    </row>
    <row r="500" spans="18:18" x14ac:dyDescent="0.2">
      <c r="R500" s="11"/>
    </row>
    <row r="501" spans="18:18" x14ac:dyDescent="0.2">
      <c r="R501" s="11"/>
    </row>
    <row r="502" spans="18:18" x14ac:dyDescent="0.2">
      <c r="R502" s="11"/>
    </row>
    <row r="503" spans="18:18" x14ac:dyDescent="0.2">
      <c r="R503" s="11"/>
    </row>
    <row r="504" spans="18:18" x14ac:dyDescent="0.2">
      <c r="R504" s="11"/>
    </row>
    <row r="505" spans="18:18" x14ac:dyDescent="0.2">
      <c r="R505" s="11"/>
    </row>
    <row r="506" spans="18:18" x14ac:dyDescent="0.2">
      <c r="R506" s="11"/>
    </row>
    <row r="507" spans="18:18" x14ac:dyDescent="0.2">
      <c r="R507" s="11"/>
    </row>
    <row r="508" spans="18:18" x14ac:dyDescent="0.2">
      <c r="R508" s="11"/>
    </row>
    <row r="509" spans="18:18" x14ac:dyDescent="0.2">
      <c r="R509" s="11"/>
    </row>
    <row r="510" spans="18:18" x14ac:dyDescent="0.2">
      <c r="R510" s="11"/>
    </row>
    <row r="511" spans="18:18" x14ac:dyDescent="0.2">
      <c r="R511" s="11"/>
    </row>
    <row r="512" spans="18:18" x14ac:dyDescent="0.2">
      <c r="R512" s="11"/>
    </row>
    <row r="513" spans="18:18" x14ac:dyDescent="0.2">
      <c r="R513" s="11"/>
    </row>
    <row r="514" spans="18:18" x14ac:dyDescent="0.2">
      <c r="R514" s="11"/>
    </row>
    <row r="515" spans="18:18" x14ac:dyDescent="0.2">
      <c r="R515" s="11"/>
    </row>
    <row r="516" spans="18:18" x14ac:dyDescent="0.2">
      <c r="R516" s="11"/>
    </row>
    <row r="517" spans="18:18" x14ac:dyDescent="0.2">
      <c r="R517" s="11"/>
    </row>
    <row r="518" spans="18:18" x14ac:dyDescent="0.2">
      <c r="R518" s="11"/>
    </row>
    <row r="519" spans="18:18" x14ac:dyDescent="0.2">
      <c r="R519" s="11"/>
    </row>
    <row r="520" spans="18:18" x14ac:dyDescent="0.2">
      <c r="R520" s="11"/>
    </row>
    <row r="521" spans="18:18" x14ac:dyDescent="0.2">
      <c r="R521" s="11"/>
    </row>
    <row r="522" spans="18:18" x14ac:dyDescent="0.2">
      <c r="R522" s="11"/>
    </row>
    <row r="523" spans="18:18" x14ac:dyDescent="0.2">
      <c r="R523" s="11"/>
    </row>
    <row r="524" spans="18:18" x14ac:dyDescent="0.2">
      <c r="R524" s="11"/>
    </row>
    <row r="525" spans="18:18" x14ac:dyDescent="0.2">
      <c r="R525" s="11"/>
    </row>
    <row r="526" spans="18:18" x14ac:dyDescent="0.2">
      <c r="R526" s="11"/>
    </row>
    <row r="527" spans="18:18" x14ac:dyDescent="0.2">
      <c r="R527" s="11"/>
    </row>
    <row r="528" spans="18:18" x14ac:dyDescent="0.2">
      <c r="R528" s="11"/>
    </row>
    <row r="529" spans="18:18" x14ac:dyDescent="0.2">
      <c r="R529" s="11"/>
    </row>
    <row r="530" spans="18:18" x14ac:dyDescent="0.2">
      <c r="R530" s="11"/>
    </row>
    <row r="531" spans="18:18" x14ac:dyDescent="0.2">
      <c r="R531" s="11"/>
    </row>
    <row r="532" spans="18:18" x14ac:dyDescent="0.2">
      <c r="R532" s="11"/>
    </row>
    <row r="533" spans="18:18" x14ac:dyDescent="0.2">
      <c r="R533" s="11"/>
    </row>
    <row r="534" spans="18:18" x14ac:dyDescent="0.2">
      <c r="R534" s="11"/>
    </row>
    <row r="535" spans="18:18" x14ac:dyDescent="0.2">
      <c r="R535" s="11"/>
    </row>
    <row r="536" spans="18:18" x14ac:dyDescent="0.2">
      <c r="R536" s="11"/>
    </row>
    <row r="537" spans="18:18" x14ac:dyDescent="0.2">
      <c r="R537" s="11"/>
    </row>
    <row r="538" spans="18:18" x14ac:dyDescent="0.2">
      <c r="R538" s="11"/>
    </row>
    <row r="539" spans="18:18" x14ac:dyDescent="0.2">
      <c r="R539" s="11"/>
    </row>
    <row r="540" spans="18:18" x14ac:dyDescent="0.2">
      <c r="R540" s="11"/>
    </row>
    <row r="541" spans="18:18" x14ac:dyDescent="0.2">
      <c r="R541" s="11"/>
    </row>
    <row r="542" spans="18:18" x14ac:dyDescent="0.2">
      <c r="R542" s="11"/>
    </row>
    <row r="543" spans="18:18" x14ac:dyDescent="0.2">
      <c r="R543" s="11"/>
    </row>
    <row r="544" spans="18:18" x14ac:dyDescent="0.2">
      <c r="R544" s="11"/>
    </row>
    <row r="545" spans="18:18" x14ac:dyDescent="0.2">
      <c r="R545" s="11"/>
    </row>
    <row r="546" spans="18:18" x14ac:dyDescent="0.2">
      <c r="R546" s="11"/>
    </row>
    <row r="547" spans="18:18" x14ac:dyDescent="0.2">
      <c r="R547" s="11"/>
    </row>
    <row r="548" spans="18:18" x14ac:dyDescent="0.2">
      <c r="R548" s="11"/>
    </row>
    <row r="549" spans="18:18" x14ac:dyDescent="0.2">
      <c r="R549" s="11"/>
    </row>
    <row r="550" spans="18:18" x14ac:dyDescent="0.2">
      <c r="R550" s="11"/>
    </row>
    <row r="551" spans="18:18" x14ac:dyDescent="0.2">
      <c r="R551" s="11"/>
    </row>
    <row r="552" spans="18:18" x14ac:dyDescent="0.2">
      <c r="R552" s="11"/>
    </row>
    <row r="553" spans="18:18" x14ac:dyDescent="0.2">
      <c r="R553" s="11"/>
    </row>
    <row r="554" spans="18:18" x14ac:dyDescent="0.2">
      <c r="R554" s="11"/>
    </row>
    <row r="555" spans="18:18" x14ac:dyDescent="0.2">
      <c r="R555" s="11"/>
    </row>
    <row r="556" spans="18:18" x14ac:dyDescent="0.2">
      <c r="R556" s="11"/>
    </row>
    <row r="557" spans="18:18" x14ac:dyDescent="0.2">
      <c r="R557" s="11"/>
    </row>
    <row r="558" spans="18:18" x14ac:dyDescent="0.2">
      <c r="R558" s="11"/>
    </row>
    <row r="559" spans="18:18" x14ac:dyDescent="0.2">
      <c r="R559" s="11"/>
    </row>
    <row r="560" spans="18:18" x14ac:dyDescent="0.2">
      <c r="R560" s="11"/>
    </row>
    <row r="561" spans="18:18" x14ac:dyDescent="0.2">
      <c r="R561" s="11"/>
    </row>
    <row r="562" spans="18:18" x14ac:dyDescent="0.2">
      <c r="R562" s="11"/>
    </row>
    <row r="563" spans="18:18" x14ac:dyDescent="0.2">
      <c r="R563" s="11"/>
    </row>
    <row r="564" spans="18:18" x14ac:dyDescent="0.2">
      <c r="R564" s="11"/>
    </row>
    <row r="565" spans="18:18" x14ac:dyDescent="0.2">
      <c r="R565" s="11"/>
    </row>
    <row r="566" spans="18:18" x14ac:dyDescent="0.2">
      <c r="R566" s="11"/>
    </row>
    <row r="567" spans="18:18" x14ac:dyDescent="0.2">
      <c r="R567" s="11"/>
    </row>
    <row r="568" spans="18:18" x14ac:dyDescent="0.2">
      <c r="R568" s="11"/>
    </row>
    <row r="569" spans="18:18" x14ac:dyDescent="0.2">
      <c r="R569" s="11"/>
    </row>
    <row r="570" spans="18:18" x14ac:dyDescent="0.2">
      <c r="R570" s="11"/>
    </row>
    <row r="571" spans="18:18" x14ac:dyDescent="0.2">
      <c r="R571" s="11"/>
    </row>
    <row r="572" spans="18:18" x14ac:dyDescent="0.2">
      <c r="R572" s="11"/>
    </row>
    <row r="573" spans="18:18" x14ac:dyDescent="0.2">
      <c r="R573" s="11"/>
    </row>
    <row r="574" spans="18:18" x14ac:dyDescent="0.2">
      <c r="R574" s="11"/>
    </row>
    <row r="575" spans="18:18" x14ac:dyDescent="0.2">
      <c r="R575" s="11"/>
    </row>
    <row r="576" spans="18:18" x14ac:dyDescent="0.2">
      <c r="R576" s="11"/>
    </row>
    <row r="577" spans="18:18" x14ac:dyDescent="0.2">
      <c r="R577" s="11"/>
    </row>
    <row r="578" spans="18:18" x14ac:dyDescent="0.2">
      <c r="R578" s="11"/>
    </row>
    <row r="579" spans="18:18" x14ac:dyDescent="0.2">
      <c r="R579" s="11"/>
    </row>
    <row r="580" spans="18:18" x14ac:dyDescent="0.2">
      <c r="R580" s="11"/>
    </row>
    <row r="581" spans="18:18" x14ac:dyDescent="0.2">
      <c r="R581" s="11"/>
    </row>
    <row r="582" spans="18:18" x14ac:dyDescent="0.2">
      <c r="R582" s="11"/>
    </row>
    <row r="583" spans="18:18" x14ac:dyDescent="0.2">
      <c r="R583" s="11"/>
    </row>
    <row r="584" spans="18:18" x14ac:dyDescent="0.2">
      <c r="R584" s="11"/>
    </row>
    <row r="585" spans="18:18" x14ac:dyDescent="0.2">
      <c r="R585" s="11"/>
    </row>
    <row r="586" spans="18:18" x14ac:dyDescent="0.2">
      <c r="R586" s="11"/>
    </row>
    <row r="587" spans="18:18" x14ac:dyDescent="0.2">
      <c r="R587" s="11"/>
    </row>
    <row r="588" spans="18:18" x14ac:dyDescent="0.2">
      <c r="R588" s="11"/>
    </row>
    <row r="589" spans="18:18" x14ac:dyDescent="0.2">
      <c r="R589" s="11"/>
    </row>
    <row r="590" spans="18:18" x14ac:dyDescent="0.2">
      <c r="R590" s="11"/>
    </row>
    <row r="591" spans="18:18" x14ac:dyDescent="0.2">
      <c r="R591" s="11"/>
    </row>
    <row r="592" spans="18:18" x14ac:dyDescent="0.2">
      <c r="R592" s="11"/>
    </row>
    <row r="593" spans="18:18" x14ac:dyDescent="0.2">
      <c r="R593" s="11"/>
    </row>
    <row r="594" spans="18:18" x14ac:dyDescent="0.2">
      <c r="R594" s="11"/>
    </row>
    <row r="595" spans="18:18" x14ac:dyDescent="0.2">
      <c r="R595" s="11"/>
    </row>
    <row r="596" spans="18:18" x14ac:dyDescent="0.2">
      <c r="R596" s="11"/>
    </row>
    <row r="597" spans="18:18" x14ac:dyDescent="0.2">
      <c r="R597" s="11"/>
    </row>
    <row r="598" spans="18:18" x14ac:dyDescent="0.2">
      <c r="R598" s="11"/>
    </row>
    <row r="599" spans="18:18" x14ac:dyDescent="0.2">
      <c r="R599" s="11"/>
    </row>
    <row r="600" spans="18:18" x14ac:dyDescent="0.2">
      <c r="R600" s="11"/>
    </row>
    <row r="601" spans="18:18" x14ac:dyDescent="0.2">
      <c r="R601" s="11"/>
    </row>
    <row r="602" spans="18:18" x14ac:dyDescent="0.2">
      <c r="R602" s="11"/>
    </row>
    <row r="603" spans="18:18" x14ac:dyDescent="0.2">
      <c r="R603" s="11"/>
    </row>
    <row r="604" spans="18:18" x14ac:dyDescent="0.2">
      <c r="R604" s="11"/>
    </row>
    <row r="605" spans="18:18" x14ac:dyDescent="0.2">
      <c r="R605" s="11"/>
    </row>
    <row r="606" spans="18:18" x14ac:dyDescent="0.2">
      <c r="R606" s="11"/>
    </row>
    <row r="607" spans="18:18" x14ac:dyDescent="0.2">
      <c r="R607" s="11"/>
    </row>
    <row r="608" spans="18:18" x14ac:dyDescent="0.2">
      <c r="R608" s="11"/>
    </row>
    <row r="609" spans="18:18" x14ac:dyDescent="0.2">
      <c r="R609" s="11"/>
    </row>
    <row r="610" spans="18:18" x14ac:dyDescent="0.2">
      <c r="R610" s="11"/>
    </row>
    <row r="611" spans="18:18" x14ac:dyDescent="0.2">
      <c r="R611" s="11"/>
    </row>
    <row r="612" spans="18:18" x14ac:dyDescent="0.2">
      <c r="R612" s="11"/>
    </row>
    <row r="613" spans="18:18" x14ac:dyDescent="0.2">
      <c r="R613" s="11"/>
    </row>
    <row r="614" spans="18:18" x14ac:dyDescent="0.2">
      <c r="R614" s="11"/>
    </row>
    <row r="615" spans="18:18" x14ac:dyDescent="0.2">
      <c r="R615" s="11"/>
    </row>
    <row r="616" spans="18:18" x14ac:dyDescent="0.2">
      <c r="R616" s="11"/>
    </row>
    <row r="617" spans="18:18" x14ac:dyDescent="0.2">
      <c r="R617" s="11"/>
    </row>
    <row r="618" spans="18:18" x14ac:dyDescent="0.2">
      <c r="R618" s="11"/>
    </row>
    <row r="619" spans="18:18" x14ac:dyDescent="0.2">
      <c r="R619" s="11"/>
    </row>
    <row r="620" spans="18:18" x14ac:dyDescent="0.2">
      <c r="R620" s="11"/>
    </row>
    <row r="621" spans="18:18" x14ac:dyDescent="0.2">
      <c r="R621" s="11"/>
    </row>
    <row r="622" spans="18:18" x14ac:dyDescent="0.2">
      <c r="R622" s="11"/>
    </row>
    <row r="623" spans="18:18" x14ac:dyDescent="0.2">
      <c r="R623" s="11"/>
    </row>
    <row r="624" spans="18:18" x14ac:dyDescent="0.2">
      <c r="R624" s="11"/>
    </row>
    <row r="625" spans="18:18" x14ac:dyDescent="0.2">
      <c r="R625" s="11"/>
    </row>
    <row r="626" spans="18:18" x14ac:dyDescent="0.2">
      <c r="R626" s="11"/>
    </row>
    <row r="627" spans="18:18" x14ac:dyDescent="0.2">
      <c r="R627" s="11"/>
    </row>
    <row r="628" spans="18:18" x14ac:dyDescent="0.2">
      <c r="R628" s="11"/>
    </row>
    <row r="629" spans="18:18" x14ac:dyDescent="0.2">
      <c r="R629" s="11"/>
    </row>
    <row r="630" spans="18:18" x14ac:dyDescent="0.2">
      <c r="R630" s="11"/>
    </row>
    <row r="631" spans="18:18" x14ac:dyDescent="0.2">
      <c r="R631" s="11"/>
    </row>
    <row r="632" spans="18:18" x14ac:dyDescent="0.2">
      <c r="R632" s="11"/>
    </row>
    <row r="633" spans="18:18" x14ac:dyDescent="0.2">
      <c r="R633" s="11"/>
    </row>
    <row r="634" spans="18:18" x14ac:dyDescent="0.2">
      <c r="R634" s="11"/>
    </row>
    <row r="635" spans="18:18" x14ac:dyDescent="0.2">
      <c r="R635" s="11"/>
    </row>
    <row r="636" spans="18:18" x14ac:dyDescent="0.2">
      <c r="R636" s="11"/>
    </row>
    <row r="637" spans="18:18" x14ac:dyDescent="0.2">
      <c r="R637" s="11"/>
    </row>
    <row r="638" spans="18:18" x14ac:dyDescent="0.2">
      <c r="R638" s="11"/>
    </row>
    <row r="639" spans="18:18" x14ac:dyDescent="0.2">
      <c r="R639" s="11"/>
    </row>
    <row r="640" spans="18:18" x14ac:dyDescent="0.2">
      <c r="R640" s="11"/>
    </row>
    <row r="641" spans="18:18" x14ac:dyDescent="0.2">
      <c r="R641" s="11"/>
    </row>
    <row r="642" spans="18:18" x14ac:dyDescent="0.2">
      <c r="R642" s="11"/>
    </row>
    <row r="643" spans="18:18" x14ac:dyDescent="0.2">
      <c r="R643" s="11"/>
    </row>
    <row r="644" spans="18:18" x14ac:dyDescent="0.2">
      <c r="R644" s="11"/>
    </row>
    <row r="645" spans="18:18" x14ac:dyDescent="0.2">
      <c r="R645" s="11"/>
    </row>
    <row r="646" spans="18:18" x14ac:dyDescent="0.2">
      <c r="R646" s="11"/>
    </row>
    <row r="647" spans="18:18" x14ac:dyDescent="0.2">
      <c r="R647" s="11"/>
    </row>
    <row r="648" spans="18:18" x14ac:dyDescent="0.2">
      <c r="R648" s="11"/>
    </row>
    <row r="649" spans="18:18" x14ac:dyDescent="0.2">
      <c r="R649" s="11"/>
    </row>
    <row r="650" spans="18:18" x14ac:dyDescent="0.2">
      <c r="R650" s="11"/>
    </row>
    <row r="651" spans="18:18" x14ac:dyDescent="0.2">
      <c r="R651" s="11"/>
    </row>
    <row r="652" spans="18:18" x14ac:dyDescent="0.2">
      <c r="R652" s="11"/>
    </row>
    <row r="653" spans="18:18" x14ac:dyDescent="0.2">
      <c r="R653" s="11"/>
    </row>
    <row r="654" spans="18:18" x14ac:dyDescent="0.2">
      <c r="R654" s="11"/>
    </row>
    <row r="655" spans="18:18" x14ac:dyDescent="0.2">
      <c r="R655" s="11"/>
    </row>
    <row r="656" spans="18:18" x14ac:dyDescent="0.2">
      <c r="R656" s="11"/>
    </row>
    <row r="657" spans="18:18" x14ac:dyDescent="0.2">
      <c r="R657" s="11"/>
    </row>
    <row r="658" spans="18:18" x14ac:dyDescent="0.2">
      <c r="R658" s="11"/>
    </row>
    <row r="659" spans="18:18" x14ac:dyDescent="0.2">
      <c r="R659" s="11"/>
    </row>
    <row r="660" spans="18:18" x14ac:dyDescent="0.2">
      <c r="R660" s="11"/>
    </row>
    <row r="661" spans="18:18" x14ac:dyDescent="0.2">
      <c r="R661" s="11"/>
    </row>
    <row r="662" spans="18:18" x14ac:dyDescent="0.2">
      <c r="R662" s="11"/>
    </row>
    <row r="663" spans="18:18" x14ac:dyDescent="0.2">
      <c r="R663" s="11"/>
    </row>
    <row r="664" spans="18:18" x14ac:dyDescent="0.2">
      <c r="R664" s="11"/>
    </row>
    <row r="665" spans="18:18" x14ac:dyDescent="0.2">
      <c r="R665" s="11"/>
    </row>
    <row r="666" spans="18:18" x14ac:dyDescent="0.2">
      <c r="R666" s="11"/>
    </row>
    <row r="667" spans="18:18" x14ac:dyDescent="0.2">
      <c r="R667" s="11"/>
    </row>
    <row r="668" spans="18:18" x14ac:dyDescent="0.2">
      <c r="R668" s="11"/>
    </row>
    <row r="669" spans="18:18" x14ac:dyDescent="0.2">
      <c r="R669" s="11"/>
    </row>
    <row r="670" spans="18:18" x14ac:dyDescent="0.2">
      <c r="R670" s="11"/>
    </row>
    <row r="671" spans="18:18" x14ac:dyDescent="0.2">
      <c r="R671" s="11"/>
    </row>
    <row r="672" spans="18:18" x14ac:dyDescent="0.2">
      <c r="R672" s="11"/>
    </row>
    <row r="673" spans="18:18" x14ac:dyDescent="0.2">
      <c r="R673" s="11"/>
    </row>
    <row r="674" spans="18:18" x14ac:dyDescent="0.2">
      <c r="R674" s="11"/>
    </row>
    <row r="675" spans="18:18" x14ac:dyDescent="0.2">
      <c r="R675" s="11"/>
    </row>
    <row r="676" spans="18:18" x14ac:dyDescent="0.2">
      <c r="R676" s="11"/>
    </row>
    <row r="677" spans="18:18" x14ac:dyDescent="0.2">
      <c r="R677" s="11"/>
    </row>
    <row r="678" spans="18:18" x14ac:dyDescent="0.2">
      <c r="R678" s="11"/>
    </row>
    <row r="679" spans="18:18" x14ac:dyDescent="0.2">
      <c r="R679" s="11"/>
    </row>
    <row r="680" spans="18:18" x14ac:dyDescent="0.2">
      <c r="R680" s="11"/>
    </row>
    <row r="681" spans="18:18" x14ac:dyDescent="0.2">
      <c r="R681" s="11"/>
    </row>
    <row r="682" spans="18:18" x14ac:dyDescent="0.2">
      <c r="R682" s="11"/>
    </row>
    <row r="683" spans="18:18" x14ac:dyDescent="0.2">
      <c r="R683" s="11"/>
    </row>
    <row r="684" spans="18:18" x14ac:dyDescent="0.2">
      <c r="R684" s="11"/>
    </row>
    <row r="685" spans="18:18" x14ac:dyDescent="0.2">
      <c r="R685" s="11"/>
    </row>
    <row r="686" spans="18:18" x14ac:dyDescent="0.2">
      <c r="R686" s="11"/>
    </row>
    <row r="687" spans="18:18" x14ac:dyDescent="0.2">
      <c r="R687" s="11"/>
    </row>
    <row r="688" spans="18:18" x14ac:dyDescent="0.2">
      <c r="R688" s="11"/>
    </row>
    <row r="689" spans="18:18" x14ac:dyDescent="0.2">
      <c r="R689" s="11"/>
    </row>
    <row r="690" spans="18:18" x14ac:dyDescent="0.2">
      <c r="R690" s="11"/>
    </row>
    <row r="691" spans="18:18" x14ac:dyDescent="0.2">
      <c r="R691" s="11"/>
    </row>
    <row r="692" spans="18:18" x14ac:dyDescent="0.2">
      <c r="R692" s="11"/>
    </row>
    <row r="693" spans="18:18" x14ac:dyDescent="0.2">
      <c r="R693" s="11"/>
    </row>
    <row r="694" spans="18:18" x14ac:dyDescent="0.2">
      <c r="R694" s="11"/>
    </row>
    <row r="695" spans="18:18" x14ac:dyDescent="0.2">
      <c r="R695" s="11"/>
    </row>
    <row r="696" spans="18:18" x14ac:dyDescent="0.2">
      <c r="R696" s="11"/>
    </row>
    <row r="697" spans="18:18" x14ac:dyDescent="0.2">
      <c r="R697" s="11"/>
    </row>
    <row r="698" spans="18:18" x14ac:dyDescent="0.2">
      <c r="R698" s="11"/>
    </row>
    <row r="699" spans="18:18" x14ac:dyDescent="0.2">
      <c r="R699" s="11"/>
    </row>
    <row r="700" spans="18:18" x14ac:dyDescent="0.2">
      <c r="R700" s="11"/>
    </row>
    <row r="701" spans="18:18" x14ac:dyDescent="0.2">
      <c r="R701" s="11"/>
    </row>
    <row r="702" spans="18:18" x14ac:dyDescent="0.2">
      <c r="R702" s="11"/>
    </row>
    <row r="703" spans="18:18" x14ac:dyDescent="0.2">
      <c r="R703" s="11"/>
    </row>
    <row r="704" spans="18:18" x14ac:dyDescent="0.2">
      <c r="R704" s="11"/>
    </row>
    <row r="705" spans="18:18" x14ac:dyDescent="0.2">
      <c r="R705" s="11"/>
    </row>
    <row r="706" spans="18:18" x14ac:dyDescent="0.2">
      <c r="R706" s="11"/>
    </row>
    <row r="707" spans="18:18" x14ac:dyDescent="0.2">
      <c r="R707" s="11"/>
    </row>
    <row r="708" spans="18:18" x14ac:dyDescent="0.2">
      <c r="R708" s="11"/>
    </row>
    <row r="709" spans="18:18" x14ac:dyDescent="0.2">
      <c r="R709" s="11"/>
    </row>
    <row r="710" spans="18:18" x14ac:dyDescent="0.2">
      <c r="R710" s="11"/>
    </row>
    <row r="711" spans="18:18" x14ac:dyDescent="0.2">
      <c r="R711" s="11"/>
    </row>
    <row r="712" spans="18:18" x14ac:dyDescent="0.2">
      <c r="R712" s="11"/>
    </row>
    <row r="713" spans="18:18" x14ac:dyDescent="0.2">
      <c r="R713" s="11"/>
    </row>
    <row r="714" spans="18:18" x14ac:dyDescent="0.2">
      <c r="R714" s="11"/>
    </row>
    <row r="715" spans="18:18" x14ac:dyDescent="0.2">
      <c r="R715" s="11"/>
    </row>
    <row r="716" spans="18:18" x14ac:dyDescent="0.2">
      <c r="R716" s="11"/>
    </row>
    <row r="717" spans="18:18" x14ac:dyDescent="0.2">
      <c r="R717" s="11"/>
    </row>
    <row r="718" spans="18:18" x14ac:dyDescent="0.2">
      <c r="R718" s="11"/>
    </row>
    <row r="719" spans="18:18" x14ac:dyDescent="0.2">
      <c r="R719" s="11"/>
    </row>
    <row r="720" spans="18:18" x14ac:dyDescent="0.2">
      <c r="R720" s="11"/>
    </row>
    <row r="721" spans="18:18" x14ac:dyDescent="0.2">
      <c r="R721" s="11"/>
    </row>
    <row r="722" spans="18:18" x14ac:dyDescent="0.2">
      <c r="R722" s="11"/>
    </row>
    <row r="723" spans="18:18" x14ac:dyDescent="0.2">
      <c r="R723" s="11"/>
    </row>
    <row r="724" spans="18:18" x14ac:dyDescent="0.2">
      <c r="R724" s="11"/>
    </row>
    <row r="725" spans="18:18" x14ac:dyDescent="0.2">
      <c r="R725" s="11"/>
    </row>
    <row r="726" spans="18:18" x14ac:dyDescent="0.2">
      <c r="R726" s="11"/>
    </row>
    <row r="727" spans="18:18" x14ac:dyDescent="0.2">
      <c r="R727" s="11"/>
    </row>
    <row r="728" spans="18:18" x14ac:dyDescent="0.2">
      <c r="R728" s="11"/>
    </row>
    <row r="729" spans="18:18" x14ac:dyDescent="0.2">
      <c r="R729" s="11"/>
    </row>
    <row r="730" spans="18:18" x14ac:dyDescent="0.2">
      <c r="R730" s="11"/>
    </row>
    <row r="731" spans="18:18" x14ac:dyDescent="0.2">
      <c r="R731" s="11"/>
    </row>
    <row r="732" spans="18:18" x14ac:dyDescent="0.2">
      <c r="R732" s="11"/>
    </row>
    <row r="733" spans="18:18" x14ac:dyDescent="0.2">
      <c r="R733" s="11"/>
    </row>
    <row r="734" spans="18:18" x14ac:dyDescent="0.2">
      <c r="R734" s="11"/>
    </row>
    <row r="735" spans="18:18" x14ac:dyDescent="0.2">
      <c r="R735" s="11"/>
    </row>
    <row r="736" spans="18:18" x14ac:dyDescent="0.2">
      <c r="R736" s="11"/>
    </row>
    <row r="737" spans="18:18" x14ac:dyDescent="0.2">
      <c r="R737" s="11"/>
    </row>
    <row r="738" spans="18:18" x14ac:dyDescent="0.2">
      <c r="R738" s="11"/>
    </row>
    <row r="739" spans="18:18" x14ac:dyDescent="0.2">
      <c r="R739" s="11"/>
    </row>
    <row r="740" spans="18:18" x14ac:dyDescent="0.2">
      <c r="R740" s="11"/>
    </row>
    <row r="741" spans="18:18" x14ac:dyDescent="0.2">
      <c r="R741" s="11"/>
    </row>
    <row r="742" spans="18:18" x14ac:dyDescent="0.2">
      <c r="R742" s="11"/>
    </row>
    <row r="743" spans="18:18" x14ac:dyDescent="0.2">
      <c r="R743" s="11"/>
    </row>
    <row r="744" spans="18:18" x14ac:dyDescent="0.2">
      <c r="R744" s="11"/>
    </row>
    <row r="745" spans="18:18" x14ac:dyDescent="0.2">
      <c r="R745" s="11"/>
    </row>
    <row r="746" spans="18:18" x14ac:dyDescent="0.2">
      <c r="R746" s="11"/>
    </row>
    <row r="747" spans="18:18" x14ac:dyDescent="0.2">
      <c r="R747" s="11"/>
    </row>
    <row r="748" spans="18:18" x14ac:dyDescent="0.2">
      <c r="R748" s="11"/>
    </row>
    <row r="749" spans="18:18" x14ac:dyDescent="0.2">
      <c r="R749" s="11"/>
    </row>
    <row r="750" spans="18:18" x14ac:dyDescent="0.2">
      <c r="R750" s="11"/>
    </row>
    <row r="751" spans="18:18" x14ac:dyDescent="0.2">
      <c r="R751" s="11"/>
    </row>
    <row r="752" spans="18:18" x14ac:dyDescent="0.2">
      <c r="R752" s="11"/>
    </row>
    <row r="753" spans="18:18" x14ac:dyDescent="0.2">
      <c r="R753" s="11"/>
    </row>
    <row r="754" spans="18:18" x14ac:dyDescent="0.2">
      <c r="R754" s="11"/>
    </row>
    <row r="755" spans="18:18" x14ac:dyDescent="0.2">
      <c r="R755" s="11"/>
    </row>
    <row r="756" spans="18:18" x14ac:dyDescent="0.2">
      <c r="R756" s="11"/>
    </row>
    <row r="757" spans="18:18" x14ac:dyDescent="0.2">
      <c r="R757" s="11"/>
    </row>
    <row r="758" spans="18:18" x14ac:dyDescent="0.2">
      <c r="R758" s="11"/>
    </row>
    <row r="759" spans="18:18" x14ac:dyDescent="0.2">
      <c r="R759" s="11"/>
    </row>
    <row r="760" spans="18:18" x14ac:dyDescent="0.2">
      <c r="R760" s="11"/>
    </row>
    <row r="761" spans="18:18" x14ac:dyDescent="0.2">
      <c r="R761" s="11"/>
    </row>
    <row r="762" spans="18:18" x14ac:dyDescent="0.2">
      <c r="R762" s="11"/>
    </row>
    <row r="763" spans="18:18" x14ac:dyDescent="0.2">
      <c r="R763" s="11"/>
    </row>
    <row r="764" spans="18:18" x14ac:dyDescent="0.2">
      <c r="R764" s="11"/>
    </row>
    <row r="765" spans="18:18" x14ac:dyDescent="0.2">
      <c r="R765" s="11"/>
    </row>
    <row r="766" spans="18:18" x14ac:dyDescent="0.2">
      <c r="R766" s="11"/>
    </row>
    <row r="767" spans="18:18" x14ac:dyDescent="0.2">
      <c r="R767" s="11"/>
    </row>
    <row r="768" spans="18:18" x14ac:dyDescent="0.2">
      <c r="R768" s="11"/>
    </row>
    <row r="769" spans="18:18" x14ac:dyDescent="0.2">
      <c r="R769" s="11"/>
    </row>
    <row r="770" spans="18:18" x14ac:dyDescent="0.2">
      <c r="R770" s="11"/>
    </row>
    <row r="771" spans="18:18" x14ac:dyDescent="0.2">
      <c r="R771" s="11"/>
    </row>
    <row r="772" spans="18:18" x14ac:dyDescent="0.2">
      <c r="R772" s="11"/>
    </row>
    <row r="773" spans="18:18" x14ac:dyDescent="0.2">
      <c r="R773" s="11"/>
    </row>
    <row r="774" spans="18:18" x14ac:dyDescent="0.2">
      <c r="R774" s="11"/>
    </row>
    <row r="775" spans="18:18" x14ac:dyDescent="0.2">
      <c r="R775" s="11"/>
    </row>
    <row r="776" spans="18:18" x14ac:dyDescent="0.2">
      <c r="R776" s="11"/>
    </row>
    <row r="777" spans="18:18" x14ac:dyDescent="0.2">
      <c r="R777" s="11"/>
    </row>
    <row r="778" spans="18:18" x14ac:dyDescent="0.2">
      <c r="R778" s="11"/>
    </row>
    <row r="779" spans="18:18" x14ac:dyDescent="0.2">
      <c r="R779" s="11"/>
    </row>
    <row r="780" spans="18:18" x14ac:dyDescent="0.2">
      <c r="R780" s="11"/>
    </row>
    <row r="781" spans="18:18" x14ac:dyDescent="0.2">
      <c r="R781" s="11"/>
    </row>
    <row r="782" spans="18:18" x14ac:dyDescent="0.2">
      <c r="R782" s="11"/>
    </row>
    <row r="783" spans="18:18" x14ac:dyDescent="0.2">
      <c r="R783" s="11"/>
    </row>
    <row r="784" spans="18:18" x14ac:dyDescent="0.2">
      <c r="R784" s="11"/>
    </row>
    <row r="785" spans="18:18" x14ac:dyDescent="0.2">
      <c r="R785" s="11"/>
    </row>
    <row r="786" spans="18:18" x14ac:dyDescent="0.2">
      <c r="R786" s="11"/>
    </row>
    <row r="787" spans="18:18" x14ac:dyDescent="0.2">
      <c r="R787" s="11"/>
    </row>
    <row r="788" spans="18:18" x14ac:dyDescent="0.2">
      <c r="R788" s="11"/>
    </row>
    <row r="789" spans="18:18" x14ac:dyDescent="0.2">
      <c r="R789" s="11"/>
    </row>
    <row r="790" spans="18:18" x14ac:dyDescent="0.2">
      <c r="R790" s="11"/>
    </row>
    <row r="791" spans="18:18" x14ac:dyDescent="0.2">
      <c r="R791" s="11"/>
    </row>
    <row r="792" spans="18:18" x14ac:dyDescent="0.2">
      <c r="R792" s="11"/>
    </row>
    <row r="793" spans="18:18" x14ac:dyDescent="0.2">
      <c r="R793" s="11"/>
    </row>
    <row r="794" spans="18:18" x14ac:dyDescent="0.2">
      <c r="R794" s="11"/>
    </row>
    <row r="795" spans="18:18" x14ac:dyDescent="0.2">
      <c r="R795" s="11"/>
    </row>
    <row r="796" spans="18:18" x14ac:dyDescent="0.2">
      <c r="R796" s="11"/>
    </row>
    <row r="797" spans="18:18" x14ac:dyDescent="0.2">
      <c r="R797" s="11"/>
    </row>
    <row r="798" spans="18:18" x14ac:dyDescent="0.2">
      <c r="R798" s="11"/>
    </row>
    <row r="799" spans="18:18" x14ac:dyDescent="0.2">
      <c r="R799" s="11"/>
    </row>
    <row r="800" spans="18:18" x14ac:dyDescent="0.2">
      <c r="R800" s="11"/>
    </row>
    <row r="801" spans="18:18" x14ac:dyDescent="0.2">
      <c r="R801" s="11"/>
    </row>
    <row r="802" spans="18:18" x14ac:dyDescent="0.2">
      <c r="R802" s="11"/>
    </row>
    <row r="803" spans="18:18" x14ac:dyDescent="0.2">
      <c r="R803" s="11"/>
    </row>
    <row r="804" spans="18:18" x14ac:dyDescent="0.2">
      <c r="R804" s="11"/>
    </row>
    <row r="805" spans="18:18" x14ac:dyDescent="0.2">
      <c r="R805" s="11"/>
    </row>
    <row r="806" spans="18:18" x14ac:dyDescent="0.2">
      <c r="R806" s="11"/>
    </row>
    <row r="807" spans="18:18" x14ac:dyDescent="0.2">
      <c r="R807" s="11"/>
    </row>
    <row r="808" spans="18:18" x14ac:dyDescent="0.2">
      <c r="R808" s="11"/>
    </row>
    <row r="809" spans="18:18" x14ac:dyDescent="0.2">
      <c r="R809" s="11"/>
    </row>
    <row r="810" spans="18:18" x14ac:dyDescent="0.2">
      <c r="R810" s="11"/>
    </row>
    <row r="811" spans="18:18" x14ac:dyDescent="0.2">
      <c r="R811" s="11"/>
    </row>
    <row r="812" spans="18:18" x14ac:dyDescent="0.2">
      <c r="R812" s="11"/>
    </row>
    <row r="813" spans="18:18" x14ac:dyDescent="0.2">
      <c r="R813" s="11"/>
    </row>
    <row r="814" spans="18:18" x14ac:dyDescent="0.2">
      <c r="R814" s="11"/>
    </row>
    <row r="815" spans="18:18" x14ac:dyDescent="0.2">
      <c r="R815" s="11"/>
    </row>
    <row r="816" spans="18:18" x14ac:dyDescent="0.2">
      <c r="R816" s="11"/>
    </row>
    <row r="817" spans="18:18" x14ac:dyDescent="0.2">
      <c r="R817" s="11"/>
    </row>
    <row r="818" spans="18:18" x14ac:dyDescent="0.2">
      <c r="R818" s="11"/>
    </row>
    <row r="819" spans="18:18" x14ac:dyDescent="0.2">
      <c r="R819" s="11"/>
    </row>
    <row r="820" spans="18:18" x14ac:dyDescent="0.2">
      <c r="R820" s="11"/>
    </row>
    <row r="821" spans="18:18" x14ac:dyDescent="0.2">
      <c r="R821" s="11"/>
    </row>
    <row r="822" spans="18:18" x14ac:dyDescent="0.2">
      <c r="R822" s="11"/>
    </row>
    <row r="823" spans="18:18" x14ac:dyDescent="0.2">
      <c r="R823" s="11"/>
    </row>
    <row r="824" spans="18:18" x14ac:dyDescent="0.2">
      <c r="R824" s="11"/>
    </row>
    <row r="825" spans="18:18" x14ac:dyDescent="0.2">
      <c r="R825" s="11"/>
    </row>
    <row r="826" spans="18:18" x14ac:dyDescent="0.2">
      <c r="R826" s="11"/>
    </row>
    <row r="827" spans="18:18" x14ac:dyDescent="0.2">
      <c r="R827" s="11"/>
    </row>
    <row r="828" spans="18:18" x14ac:dyDescent="0.2">
      <c r="R828" s="11"/>
    </row>
    <row r="829" spans="18:18" x14ac:dyDescent="0.2">
      <c r="R829" s="11"/>
    </row>
    <row r="830" spans="18:18" x14ac:dyDescent="0.2">
      <c r="R830" s="11"/>
    </row>
    <row r="831" spans="18:18" x14ac:dyDescent="0.2">
      <c r="R831" s="11"/>
    </row>
    <row r="832" spans="18:18" x14ac:dyDescent="0.2">
      <c r="R832" s="11"/>
    </row>
    <row r="833" spans="18:18" x14ac:dyDescent="0.2">
      <c r="R833" s="11"/>
    </row>
    <row r="834" spans="18:18" x14ac:dyDescent="0.2">
      <c r="R834" s="11"/>
    </row>
    <row r="835" spans="18:18" x14ac:dyDescent="0.2">
      <c r="R835" s="11"/>
    </row>
    <row r="836" spans="18:18" x14ac:dyDescent="0.2">
      <c r="R836" s="11"/>
    </row>
    <row r="837" spans="18:18" x14ac:dyDescent="0.2">
      <c r="R837" s="11"/>
    </row>
    <row r="838" spans="18:18" x14ac:dyDescent="0.2">
      <c r="R838" s="11"/>
    </row>
    <row r="839" spans="18:18" x14ac:dyDescent="0.2">
      <c r="R839" s="11"/>
    </row>
    <row r="840" spans="18:18" x14ac:dyDescent="0.2">
      <c r="R840" s="11"/>
    </row>
    <row r="841" spans="18:18" x14ac:dyDescent="0.2">
      <c r="R841" s="11"/>
    </row>
    <row r="842" spans="18:18" x14ac:dyDescent="0.2">
      <c r="R842" s="11"/>
    </row>
    <row r="843" spans="18:18" x14ac:dyDescent="0.2">
      <c r="R843" s="11"/>
    </row>
    <row r="844" spans="18:18" x14ac:dyDescent="0.2">
      <c r="R844" s="11"/>
    </row>
    <row r="845" spans="18:18" x14ac:dyDescent="0.2">
      <c r="R845" s="11"/>
    </row>
    <row r="846" spans="18:18" x14ac:dyDescent="0.2">
      <c r="R846" s="11"/>
    </row>
    <row r="847" spans="18:18" x14ac:dyDescent="0.2">
      <c r="R847" s="11"/>
    </row>
    <row r="848" spans="18:18" x14ac:dyDescent="0.2">
      <c r="R848" s="11"/>
    </row>
    <row r="849" spans="18:18" x14ac:dyDescent="0.2">
      <c r="R849" s="11"/>
    </row>
    <row r="850" spans="18:18" x14ac:dyDescent="0.2">
      <c r="R850" s="11"/>
    </row>
    <row r="851" spans="18:18" x14ac:dyDescent="0.2">
      <c r="R851" s="11"/>
    </row>
    <row r="852" spans="18:18" x14ac:dyDescent="0.2">
      <c r="R852" s="11"/>
    </row>
    <row r="853" spans="18:18" x14ac:dyDescent="0.2">
      <c r="R853" s="11"/>
    </row>
    <row r="854" spans="18:18" x14ac:dyDescent="0.2">
      <c r="R854" s="11"/>
    </row>
    <row r="855" spans="18:18" x14ac:dyDescent="0.2">
      <c r="R855" s="11"/>
    </row>
    <row r="856" spans="18:18" x14ac:dyDescent="0.2">
      <c r="R856" s="11"/>
    </row>
    <row r="857" spans="18:18" x14ac:dyDescent="0.2">
      <c r="R857" s="11"/>
    </row>
    <row r="858" spans="18:18" x14ac:dyDescent="0.2">
      <c r="R858" s="11"/>
    </row>
    <row r="859" spans="18:18" x14ac:dyDescent="0.2">
      <c r="R859" s="11"/>
    </row>
    <row r="860" spans="18:18" x14ac:dyDescent="0.2">
      <c r="R860" s="11"/>
    </row>
    <row r="861" spans="18:18" x14ac:dyDescent="0.2">
      <c r="R861" s="11"/>
    </row>
    <row r="862" spans="18:18" x14ac:dyDescent="0.2">
      <c r="R862" s="11"/>
    </row>
    <row r="863" spans="18:18" x14ac:dyDescent="0.2">
      <c r="R863" s="11"/>
    </row>
    <row r="864" spans="18:18" x14ac:dyDescent="0.2">
      <c r="R864" s="11"/>
    </row>
    <row r="865" spans="18:18" x14ac:dyDescent="0.2">
      <c r="R865" s="11"/>
    </row>
    <row r="866" spans="18:18" x14ac:dyDescent="0.2">
      <c r="R866" s="11"/>
    </row>
    <row r="867" spans="18:18" x14ac:dyDescent="0.2">
      <c r="R867" s="11"/>
    </row>
    <row r="868" spans="18:18" x14ac:dyDescent="0.2">
      <c r="R868" s="11"/>
    </row>
    <row r="869" spans="18:18" x14ac:dyDescent="0.2">
      <c r="R869" s="11"/>
    </row>
    <row r="870" spans="18:18" x14ac:dyDescent="0.2">
      <c r="R870" s="11"/>
    </row>
    <row r="871" spans="18:18" x14ac:dyDescent="0.2">
      <c r="R871" s="11"/>
    </row>
    <row r="872" spans="18:18" x14ac:dyDescent="0.2">
      <c r="R872" s="11"/>
    </row>
    <row r="873" spans="18:18" x14ac:dyDescent="0.2">
      <c r="R873" s="11"/>
    </row>
    <row r="874" spans="18:18" x14ac:dyDescent="0.2">
      <c r="R874" s="11"/>
    </row>
    <row r="875" spans="18:18" x14ac:dyDescent="0.2">
      <c r="R875" s="11"/>
    </row>
    <row r="876" spans="18:18" x14ac:dyDescent="0.2">
      <c r="R876" s="11"/>
    </row>
    <row r="877" spans="18:18" x14ac:dyDescent="0.2">
      <c r="R877" s="11"/>
    </row>
    <row r="878" spans="18:18" x14ac:dyDescent="0.2">
      <c r="R878" s="11"/>
    </row>
    <row r="879" spans="18:18" x14ac:dyDescent="0.2">
      <c r="R879" s="11"/>
    </row>
    <row r="880" spans="18:18" x14ac:dyDescent="0.2">
      <c r="R880" s="11"/>
    </row>
    <row r="881" spans="18:18" x14ac:dyDescent="0.2">
      <c r="R881" s="11"/>
    </row>
    <row r="882" spans="18:18" x14ac:dyDescent="0.2">
      <c r="R882" s="11"/>
    </row>
    <row r="883" spans="18:18" x14ac:dyDescent="0.2">
      <c r="R883" s="11"/>
    </row>
    <row r="884" spans="18:18" x14ac:dyDescent="0.2">
      <c r="R884" s="11"/>
    </row>
    <row r="885" spans="18:18" x14ac:dyDescent="0.2">
      <c r="R885" s="11"/>
    </row>
    <row r="886" spans="18:18" x14ac:dyDescent="0.2">
      <c r="R886" s="11"/>
    </row>
    <row r="887" spans="18:18" x14ac:dyDescent="0.2">
      <c r="R887" s="11"/>
    </row>
    <row r="888" spans="18:18" x14ac:dyDescent="0.2">
      <c r="R888" s="11"/>
    </row>
    <row r="889" spans="18:18" x14ac:dyDescent="0.2">
      <c r="R889" s="11"/>
    </row>
    <row r="890" spans="18:18" x14ac:dyDescent="0.2">
      <c r="R890" s="11"/>
    </row>
    <row r="891" spans="18:18" x14ac:dyDescent="0.2">
      <c r="R891" s="11"/>
    </row>
    <row r="892" spans="18:18" x14ac:dyDescent="0.2">
      <c r="R892" s="11"/>
    </row>
    <row r="893" spans="18:18" x14ac:dyDescent="0.2">
      <c r="R893" s="11"/>
    </row>
    <row r="894" spans="18:18" x14ac:dyDescent="0.2">
      <c r="R894" s="11"/>
    </row>
    <row r="895" spans="18:18" x14ac:dyDescent="0.2">
      <c r="R895" s="11"/>
    </row>
    <row r="896" spans="18:18" x14ac:dyDescent="0.2">
      <c r="R896" s="11"/>
    </row>
    <row r="897" spans="18:18" x14ac:dyDescent="0.2">
      <c r="R897" s="11"/>
    </row>
    <row r="898" spans="18:18" x14ac:dyDescent="0.2">
      <c r="R898" s="11"/>
    </row>
    <row r="899" spans="18:18" x14ac:dyDescent="0.2">
      <c r="R899" s="11"/>
    </row>
    <row r="900" spans="18:18" x14ac:dyDescent="0.2">
      <c r="R900" s="11"/>
    </row>
    <row r="901" spans="18:18" x14ac:dyDescent="0.2">
      <c r="R901" s="11"/>
    </row>
    <row r="902" spans="18:18" x14ac:dyDescent="0.2">
      <c r="R902" s="11"/>
    </row>
    <row r="903" spans="18:18" x14ac:dyDescent="0.2">
      <c r="R903" s="11"/>
    </row>
    <row r="904" spans="18:18" x14ac:dyDescent="0.2">
      <c r="R904" s="11"/>
    </row>
    <row r="905" spans="18:18" x14ac:dyDescent="0.2">
      <c r="R905" s="11"/>
    </row>
    <row r="906" spans="18:18" x14ac:dyDescent="0.2">
      <c r="R906" s="11"/>
    </row>
    <row r="907" spans="18:18" x14ac:dyDescent="0.2">
      <c r="R907" s="11"/>
    </row>
    <row r="908" spans="18:18" x14ac:dyDescent="0.2">
      <c r="R908" s="11"/>
    </row>
    <row r="909" spans="18:18" x14ac:dyDescent="0.2">
      <c r="R909" s="11"/>
    </row>
    <row r="910" spans="18:18" x14ac:dyDescent="0.2">
      <c r="R910" s="11"/>
    </row>
    <row r="911" spans="18:18" x14ac:dyDescent="0.2">
      <c r="R911" s="11"/>
    </row>
    <row r="912" spans="18:18" x14ac:dyDescent="0.2">
      <c r="R912" s="11"/>
    </row>
    <row r="913" spans="18:18" x14ac:dyDescent="0.2">
      <c r="R913" s="11"/>
    </row>
    <row r="914" spans="18:18" x14ac:dyDescent="0.2">
      <c r="R914" s="11"/>
    </row>
    <row r="915" spans="18:18" x14ac:dyDescent="0.2">
      <c r="R915" s="11"/>
    </row>
    <row r="916" spans="18:18" x14ac:dyDescent="0.2">
      <c r="R916" s="11"/>
    </row>
    <row r="917" spans="18:18" x14ac:dyDescent="0.2">
      <c r="R917" s="11"/>
    </row>
    <row r="918" spans="18:18" x14ac:dyDescent="0.2">
      <c r="R918" s="11"/>
    </row>
    <row r="919" spans="18:18" x14ac:dyDescent="0.2">
      <c r="R919" s="11"/>
    </row>
    <row r="920" spans="18:18" x14ac:dyDescent="0.2">
      <c r="R920" s="11"/>
    </row>
    <row r="921" spans="18:18" x14ac:dyDescent="0.2">
      <c r="R921" s="11"/>
    </row>
    <row r="922" spans="18:18" x14ac:dyDescent="0.2">
      <c r="R922" s="11"/>
    </row>
    <row r="923" spans="18:18" x14ac:dyDescent="0.2">
      <c r="R923" s="11"/>
    </row>
    <row r="924" spans="18:18" x14ac:dyDescent="0.2">
      <c r="R924" s="11"/>
    </row>
    <row r="925" spans="18:18" x14ac:dyDescent="0.2">
      <c r="R925" s="11"/>
    </row>
    <row r="926" spans="18:18" x14ac:dyDescent="0.2">
      <c r="R926" s="11"/>
    </row>
    <row r="927" spans="18:18" x14ac:dyDescent="0.2">
      <c r="R927" s="11"/>
    </row>
    <row r="928" spans="18:18" x14ac:dyDescent="0.2">
      <c r="R928" s="11"/>
    </row>
    <row r="929" spans="18:18" x14ac:dyDescent="0.2">
      <c r="R929" s="11"/>
    </row>
    <row r="930" spans="18:18" x14ac:dyDescent="0.2">
      <c r="R930" s="11"/>
    </row>
    <row r="931" spans="18:18" x14ac:dyDescent="0.2">
      <c r="R931" s="11"/>
    </row>
    <row r="932" spans="18:18" x14ac:dyDescent="0.2">
      <c r="R932" s="11"/>
    </row>
    <row r="933" spans="18:18" x14ac:dyDescent="0.2">
      <c r="R933" s="11"/>
    </row>
    <row r="934" spans="18:18" x14ac:dyDescent="0.2">
      <c r="R934" s="11"/>
    </row>
    <row r="935" spans="18:18" x14ac:dyDescent="0.2">
      <c r="R935" s="11"/>
    </row>
    <row r="936" spans="18:18" x14ac:dyDescent="0.2">
      <c r="R936" s="11"/>
    </row>
    <row r="937" spans="18:18" x14ac:dyDescent="0.2">
      <c r="R937" s="11"/>
    </row>
    <row r="938" spans="18:18" x14ac:dyDescent="0.2">
      <c r="R938" s="11"/>
    </row>
    <row r="939" spans="18:18" x14ac:dyDescent="0.2">
      <c r="R939" s="11"/>
    </row>
    <row r="940" spans="18:18" x14ac:dyDescent="0.2">
      <c r="R940" s="11"/>
    </row>
    <row r="941" spans="18:18" x14ac:dyDescent="0.2">
      <c r="R941" s="11"/>
    </row>
    <row r="942" spans="18:18" x14ac:dyDescent="0.2">
      <c r="R942" s="11"/>
    </row>
    <row r="943" spans="18:18" x14ac:dyDescent="0.2">
      <c r="R943" s="11"/>
    </row>
    <row r="944" spans="18:18" x14ac:dyDescent="0.2">
      <c r="R944" s="11"/>
    </row>
    <row r="945" spans="18:18" x14ac:dyDescent="0.2">
      <c r="R945" s="11"/>
    </row>
    <row r="946" spans="18:18" x14ac:dyDescent="0.2">
      <c r="R946" s="11"/>
    </row>
    <row r="947" spans="18:18" x14ac:dyDescent="0.2">
      <c r="R947" s="11"/>
    </row>
    <row r="948" spans="18:18" x14ac:dyDescent="0.2">
      <c r="R948" s="11"/>
    </row>
    <row r="949" spans="18:18" x14ac:dyDescent="0.2">
      <c r="R949" s="11"/>
    </row>
    <row r="950" spans="18:18" x14ac:dyDescent="0.2">
      <c r="R950" s="11"/>
    </row>
    <row r="951" spans="18:18" x14ac:dyDescent="0.2">
      <c r="R951" s="11"/>
    </row>
    <row r="952" spans="18:18" x14ac:dyDescent="0.2">
      <c r="R952" s="11"/>
    </row>
    <row r="953" spans="18:18" x14ac:dyDescent="0.2">
      <c r="R953" s="11"/>
    </row>
    <row r="954" spans="18:18" x14ac:dyDescent="0.2">
      <c r="R954" s="11"/>
    </row>
    <row r="955" spans="18:18" x14ac:dyDescent="0.2">
      <c r="R955" s="11"/>
    </row>
    <row r="956" spans="18:18" x14ac:dyDescent="0.2">
      <c r="R956" s="11"/>
    </row>
    <row r="957" spans="18:18" x14ac:dyDescent="0.2">
      <c r="R957" s="11"/>
    </row>
    <row r="958" spans="18:18" x14ac:dyDescent="0.2">
      <c r="R958" s="11"/>
    </row>
    <row r="959" spans="18:18" x14ac:dyDescent="0.2">
      <c r="R959" s="11"/>
    </row>
    <row r="960" spans="18:18" x14ac:dyDescent="0.2">
      <c r="R960" s="11"/>
    </row>
    <row r="961" spans="18:18" x14ac:dyDescent="0.2">
      <c r="R961" s="11"/>
    </row>
    <row r="962" spans="18:18" x14ac:dyDescent="0.2">
      <c r="R962" s="11"/>
    </row>
    <row r="963" spans="18:18" x14ac:dyDescent="0.2">
      <c r="R963" s="11"/>
    </row>
    <row r="964" spans="18:18" x14ac:dyDescent="0.2">
      <c r="R964" s="11"/>
    </row>
    <row r="965" spans="18:18" x14ac:dyDescent="0.2">
      <c r="R965" s="11"/>
    </row>
    <row r="966" spans="18:18" x14ac:dyDescent="0.2">
      <c r="R966" s="11"/>
    </row>
    <row r="967" spans="18:18" x14ac:dyDescent="0.2">
      <c r="R967" s="11"/>
    </row>
    <row r="968" spans="18:18" x14ac:dyDescent="0.2">
      <c r="R968" s="11"/>
    </row>
    <row r="969" spans="18:18" x14ac:dyDescent="0.2">
      <c r="R969" s="11"/>
    </row>
    <row r="970" spans="18:18" x14ac:dyDescent="0.2">
      <c r="R970" s="11"/>
    </row>
    <row r="971" spans="18:18" x14ac:dyDescent="0.2">
      <c r="R971" s="11"/>
    </row>
    <row r="972" spans="18:18" x14ac:dyDescent="0.2">
      <c r="R972" s="11"/>
    </row>
    <row r="973" spans="18:18" x14ac:dyDescent="0.2">
      <c r="R973" s="11"/>
    </row>
    <row r="974" spans="18:18" x14ac:dyDescent="0.2">
      <c r="R974" s="11"/>
    </row>
    <row r="975" spans="18:18" x14ac:dyDescent="0.2">
      <c r="R975" s="11"/>
    </row>
    <row r="976" spans="18:18" x14ac:dyDescent="0.2">
      <c r="R976" s="11"/>
    </row>
    <row r="977" spans="18:18" x14ac:dyDescent="0.2">
      <c r="R977" s="11"/>
    </row>
    <row r="978" spans="18:18" x14ac:dyDescent="0.2">
      <c r="R978" s="11"/>
    </row>
    <row r="979" spans="18:18" x14ac:dyDescent="0.2">
      <c r="R979" s="11"/>
    </row>
    <row r="980" spans="18:18" x14ac:dyDescent="0.2">
      <c r="R980" s="11"/>
    </row>
    <row r="981" spans="18:18" x14ac:dyDescent="0.2">
      <c r="R981" s="11"/>
    </row>
    <row r="982" spans="18:18" x14ac:dyDescent="0.2">
      <c r="R982" s="11"/>
    </row>
    <row r="983" spans="18:18" x14ac:dyDescent="0.2">
      <c r="R983" s="11"/>
    </row>
    <row r="984" spans="18:18" x14ac:dyDescent="0.2">
      <c r="R984" s="11"/>
    </row>
    <row r="985" spans="18:18" x14ac:dyDescent="0.2">
      <c r="R985" s="11"/>
    </row>
    <row r="986" spans="18:18" x14ac:dyDescent="0.2">
      <c r="R986" s="11"/>
    </row>
    <row r="987" spans="18:18" x14ac:dyDescent="0.2">
      <c r="R987" s="11"/>
    </row>
    <row r="988" spans="18:18" x14ac:dyDescent="0.2">
      <c r="R988" s="11"/>
    </row>
    <row r="989" spans="18:18" x14ac:dyDescent="0.2">
      <c r="R989" s="11"/>
    </row>
    <row r="990" spans="18:18" x14ac:dyDescent="0.2">
      <c r="R990" s="11"/>
    </row>
    <row r="991" spans="18:18" x14ac:dyDescent="0.2">
      <c r="R991" s="11"/>
    </row>
    <row r="992" spans="18:18" x14ac:dyDescent="0.2">
      <c r="R992" s="11"/>
    </row>
    <row r="993" spans="18:18" x14ac:dyDescent="0.2">
      <c r="R993" s="11"/>
    </row>
    <row r="994" spans="18:18" x14ac:dyDescent="0.2">
      <c r="R994" s="11"/>
    </row>
    <row r="995" spans="18:18" x14ac:dyDescent="0.2">
      <c r="R995" s="11"/>
    </row>
    <row r="996" spans="18:18" x14ac:dyDescent="0.2">
      <c r="R996" s="11"/>
    </row>
    <row r="997" spans="18:18" x14ac:dyDescent="0.2">
      <c r="R997" s="11"/>
    </row>
    <row r="998" spans="18:18" x14ac:dyDescent="0.2">
      <c r="R998" s="11"/>
    </row>
    <row r="999" spans="18:18" x14ac:dyDescent="0.2">
      <c r="R999" s="11"/>
    </row>
    <row r="1000" spans="18:18" x14ac:dyDescent="0.2">
      <c r="R1000" s="11"/>
    </row>
    <row r="1001" spans="18:18" x14ac:dyDescent="0.2">
      <c r="R1001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Joy, Anand</dc:creator>
  <cp:lastModifiedBy>Joy, Anand</cp:lastModifiedBy>
  <dcterms:created xsi:type="dcterms:W3CDTF">2022-11-17T19:02:36Z</dcterms:created>
  <dcterms:modified xsi:type="dcterms:W3CDTF">2022-12-01T21:53:30Z</dcterms:modified>
</cp:coreProperties>
</file>